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386" documentId="13_ncr:1_{C33271F6-7B2F-45C8-B23D-24BE88135F3D}" xr6:coauthVersionLast="47" xr6:coauthVersionMax="47" xr10:uidLastSave="{47F58999-EF0C-4BA7-A0E7-DC760727405B}"/>
  <bookViews>
    <workbookView xWindow="28680" yWindow="-120" windowWidth="29040" windowHeight="15720" xr2:uid="{00000000-000D-0000-FFFF-FFFF00000000}"/>
  </bookViews>
  <sheets>
    <sheet name="PivotTables" sheetId="3" r:id="rId1"/>
    <sheet name="Bike Sales" sheetId="1" r:id="rId2"/>
    <sheet name="SWITCH etc." sheetId="2" r:id="rId3"/>
  </sheets>
  <calcPr calcId="191028"/>
  <pivotCaches>
    <pivotCache cacheId="737" r:id="rId4"/>
    <pivotCache cacheId="732" r:id="rId5"/>
    <pivotCache cacheId="7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D2" i="2" a="1"/>
  <c r="D2" i="2" s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94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<sst xmlns="http://schemas.openxmlformats.org/spreadsheetml/2006/main" count="1690" uniqueCount="186">
  <si>
    <t>Country</t>
  </si>
  <si>
    <t xml:space="preserve">Total Profit </t>
  </si>
  <si>
    <t xml:space="preserve">Sum of  Profit </t>
  </si>
  <si>
    <t>United States</t>
  </si>
  <si>
    <t>Australia</t>
  </si>
  <si>
    <t>Canada</t>
  </si>
  <si>
    <t>France</t>
  </si>
  <si>
    <t>Germany</t>
  </si>
  <si>
    <t>United  States</t>
  </si>
  <si>
    <t>United Kingdom</t>
  </si>
  <si>
    <t>Grand Total</t>
  </si>
  <si>
    <t xml:space="preserve">United States </t>
  </si>
  <si>
    <t>Customer_Gender</t>
  </si>
  <si>
    <t>F</t>
  </si>
  <si>
    <t>M</t>
  </si>
  <si>
    <t>Age_Group</t>
  </si>
  <si>
    <t>Adults (35-64)</t>
  </si>
  <si>
    <t>Young Adults (25-34)</t>
  </si>
  <si>
    <t>Youth (&lt;25)</t>
  </si>
  <si>
    <t>Australia Total</t>
  </si>
  <si>
    <t>Canada Total</t>
  </si>
  <si>
    <t>France Total</t>
  </si>
  <si>
    <t>Germany Total</t>
  </si>
  <si>
    <t>United Kingdom Total</t>
  </si>
  <si>
    <t>United States Total</t>
  </si>
  <si>
    <t>Sum of Order_Quantity</t>
  </si>
  <si>
    <t>Youth (&lt;25) Total</t>
  </si>
  <si>
    <t>Young Adults (25-34) Total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</si>
  <si>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</si>
  <si>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</si>
  <si>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</si>
  <si>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</si>
  <si>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</si>
  <si>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</si>
  <si>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</si>
  <si>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</si>
  <si>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</si>
  <si>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</si>
  <si>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</si>
  <si>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</si>
  <si>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</si>
  <si>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</si>
  <si>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</si>
  <si>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</si>
  <si>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</si>
  <si>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</si>
  <si>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</si>
  <si>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</si>
  <si>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</si>
  <si>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</si>
  <si>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</si>
  <si>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</si>
  <si>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</si>
  <si>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</si>
  <si>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</si>
  <si>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</si>
  <si>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</si>
  <si>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</si>
  <si>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</si>
  <si>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</si>
  <si>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</si>
  <si>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</si>
  <si>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</si>
  <si>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</si>
  <si>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</si>
  <si>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</si>
  <si>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</si>
  <si>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</si>
  <si>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</si>
  <si>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</si>
  <si>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</si>
  <si>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</si>
  <si>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</si>
  <si>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</si>
  <si>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</si>
  <si>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</si>
  <si>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</si>
  <si>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</si>
  <si>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</si>
  <si>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</si>
  <si>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</si>
  <si>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</si>
  <si>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</si>
  <si>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</si>
  <si>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</si>
  <si>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</si>
  <si>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</si>
  <si>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</si>
  <si>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</si>
  <si>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</si>
  <si>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</si>
  <si>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</si>
  <si>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</si>
  <si>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</si>
  <si>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</si>
  <si>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</si>
  <si>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</si>
  <si>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</si>
  <si>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</si>
  <si>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</si>
  <si>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</si>
  <si>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</si>
  <si>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</si>
  <si>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</si>
  <si>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</si>
  <si>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</si>
  <si>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</si>
  <si>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</si>
  <si>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</si>
  <si>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</si>
  <si>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</si>
  <si>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</si>
  <si>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</si>
  <si>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</si>
  <si>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</si>
  <si>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</si>
  <si>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</si>
  <si>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</si>
  <si>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</si>
  <si>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</si>
  <si>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</si>
  <si>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</si>
  <si>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</si>
  <si>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</si>
  <si>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</si>
  <si>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</si>
  <si>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</si>
  <si>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</si>
  <si>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</si>
  <si>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</si>
  <si>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</si>
  <si>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</si>
  <si>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</si>
  <si>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</si>
  <si>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</si>
  <si>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</si>
  <si>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</si>
  <si>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</si>
  <si>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</si>
  <si>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</si>
  <si>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</si>
  <si>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</si>
  <si>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</si>
  <si>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</si>
  <si>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</si>
  <si>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</si>
  <si>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</si>
  <si>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</si>
  <si>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</si>
  <si>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</si>
  <si>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</si>
  <si>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</si>
  <si>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</si>
  <si>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</si>
  <si>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</si>
  <si>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</si>
  <si>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</si>
  <si>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</si>
  <si>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</si>
  <si>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</si>
  <si>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</si>
  <si>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</si>
  <si>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</si>
  <si>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</si>
  <si>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</si>
  <si>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</si>
  <si>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</si>
  <si>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</si>
  <si>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</si>
  <si>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</si>
  <si>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</si>
  <si>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Cleansing Country Column (United States is repeated)</t>
  </si>
  <si>
    <t>County</t>
  </si>
  <si>
    <t>Product</t>
  </si>
  <si>
    <t>Sales Volume</t>
  </si>
  <si>
    <t>Product Category by Volume</t>
  </si>
  <si>
    <t>Total Sales Volume</t>
  </si>
  <si>
    <t>Yorkshire</t>
  </si>
  <si>
    <t>Laptops</t>
  </si>
  <si>
    <t>Printers</t>
  </si>
  <si>
    <t>Smartphones</t>
  </si>
  <si>
    <t>Cornwall</t>
  </si>
  <si>
    <t>Durham</t>
  </si>
  <si>
    <t>Essex</t>
  </si>
  <si>
    <t>Lancashire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</si>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</sst>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20" fillId="0" borderId="10" xfId="0" applyFont="1" applyBorder="1" applyAlignment="1">
      <alignment vertical="center" wrapText="1"/>
    </xf>
    <xf numFmtId="0" fontId="0" fillId="0" borderId="0" xfId="0" pivotButton="1"/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left"/>
    </xf>
    <xf numFmtId="164" fontId="0" fillId="0" borderId="0" xfId="0" applyNumberFormat="1"/>
    <xf numFmtId="164" fontId="0" fillId="0" borderId="13" xfId="0" applyNumberFormat="1" applyBorder="1"/>
    <xf numFmtId="1" fontId="20" fillId="0" borderId="14" xfId="0" applyNumberFormat="1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1" fontId="20" fillId="0" borderId="0" xfId="0" applyNumberFormat="1" applyFont="1" applyAlignment="1">
      <alignment vertical="center" wrapText="1"/>
    </xf>
    <xf numFmtId="0" fontId="0" fillId="0" borderId="16" xfId="0" pivotButton="1" applyBorder="1"/>
    <xf numFmtId="0" fontId="0" fillId="0" borderId="16" xfId="0" applyBorder="1"/>
    <xf numFmtId="1" fontId="0" fillId="0" borderId="16" xfId="0" applyNumberFormat="1" applyBorder="1"/>
    <xf numFmtId="0" fontId="20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sz val="12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border outline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numFmt numFmtId="1" formatCode="0"/>
    </dxf>
    <dxf>
      <alignment horizontal="center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border outline="0">
        <left style="medium">
          <color rgb="FF00B050"/>
        </left>
        <right style="medium">
          <color rgb="FF00B050"/>
        </right>
        <top style="medium">
          <color rgb="FF00B050"/>
        </top>
        <bottom style="medium">
          <color rgb="FF00B050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dataset.xlsx]PivotTables!PivotTable4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PivotTables!$B$12:$B$13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PivotTables!$B$14:$B$16</c:f>
              <c:numCache>
                <c:formatCode>"$"#,##0</c:formatCode>
                <c:ptCount val="2"/>
                <c:pt idx="0">
                  <c:v>31745</c:v>
                </c:pt>
                <c:pt idx="1">
                  <c:v>18581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1-48F9-8C07-8CCE7ABB4996}"/>
            </c:ext>
          </c:extLst>
        </c:ser>
        <c:ser>
          <c:idx val="1"/>
          <c:order val="1"/>
          <c:tx>
            <c:strRef>
              <c:f>PivotTables!$C$12:$C$13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PivotTables!$C$14:$C$16</c:f>
              <c:numCache>
                <c:formatCode>"$"#,##0</c:formatCode>
                <c:ptCount val="2"/>
                <c:pt idx="0">
                  <c:v>6302</c:v>
                </c:pt>
                <c:pt idx="1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1-48F9-8C07-8CCE7ABB4996}"/>
            </c:ext>
          </c:extLst>
        </c:ser>
        <c:ser>
          <c:idx val="2"/>
          <c:order val="2"/>
          <c:tx>
            <c:strRef>
              <c:f>PivotTables!$D$12:$D$13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PivotTables!$D$14:$D$16</c:f>
              <c:numCache>
                <c:formatCode>"$"#,##0</c:formatCode>
                <c:ptCount val="2"/>
                <c:pt idx="0">
                  <c:v>7345</c:v>
                </c:pt>
                <c:pt idx="1">
                  <c:v>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1-48F9-8C07-8CCE7ABB4996}"/>
            </c:ext>
          </c:extLst>
        </c:ser>
        <c:ser>
          <c:idx val="3"/>
          <c:order val="3"/>
          <c:tx>
            <c:strRef>
              <c:f>PivotTables!$E$12:$E$13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PivotTables!$E$14:$E$16</c:f>
              <c:numCache>
                <c:formatCode>"$"#,##0</c:formatCode>
                <c:ptCount val="2"/>
                <c:pt idx="0">
                  <c:v>8410</c:v>
                </c:pt>
                <c:pt idx="1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B1-48F9-8C07-8CCE7ABB4996}"/>
            </c:ext>
          </c:extLst>
        </c:ser>
        <c:ser>
          <c:idx val="4"/>
          <c:order val="4"/>
          <c:tx>
            <c:strRef>
              <c:f>PivotTables!$F$12:$F$13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PivotTables!$F$14:$F$16</c:f>
              <c:numCache>
                <c:formatCode>"$"#,##0</c:formatCode>
                <c:ptCount val="2"/>
                <c:pt idx="0">
                  <c:v>3133</c:v>
                </c:pt>
                <c:pt idx="1">
                  <c:v>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B1-48F9-8C07-8CCE7ABB4996}"/>
            </c:ext>
          </c:extLst>
        </c:ser>
        <c:ser>
          <c:idx val="5"/>
          <c:order val="5"/>
          <c:tx>
            <c:strRef>
              <c:f>PivotTables!$G$12:$G$13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PivotTables!$A$14:$A$16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PivotTables!$G$14:$G$16</c:f>
              <c:numCache>
                <c:formatCode>"$"#,##0</c:formatCode>
                <c:ptCount val="2"/>
                <c:pt idx="0">
                  <c:v>40608</c:v>
                </c:pt>
                <c:pt idx="1">
                  <c:v>19762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B1-48F9-8C07-8CCE7ABB4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57991"/>
        <c:axId val="130872839"/>
      </c:barChart>
      <c:catAx>
        <c:axId val="13085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2839"/>
        <c:crosses val="autoZero"/>
        <c:auto val="1"/>
        <c:lblAlgn val="ctr"/>
        <c:lblOffset val="100"/>
        <c:noMultiLvlLbl val="0"/>
      </c:catAx>
      <c:valAx>
        <c:axId val="13087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dataset.xlsx]PivotTables!PivotTable1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PivotTables!$C$57:$C$58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PivotTables!$C$59:$C$68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B-4983-9FD9-56BC19683E8C}"/>
            </c:ext>
          </c:extLst>
        </c:ser>
        <c:ser>
          <c:idx val="1"/>
          <c:order val="1"/>
          <c:tx>
            <c:strRef>
              <c:f>PivotTables!$D$57:$D$58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PivotTables!$D$59:$D$68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BB-4983-9FD9-56BC19683E8C}"/>
            </c:ext>
          </c:extLst>
        </c:ser>
        <c:ser>
          <c:idx val="2"/>
          <c:order val="2"/>
          <c:tx>
            <c:strRef>
              <c:f>PivotTables!$E$57:$E$58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PivotTables!$E$59:$E$68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BB-4983-9FD9-56BC19683E8C}"/>
            </c:ext>
          </c:extLst>
        </c:ser>
        <c:ser>
          <c:idx val="3"/>
          <c:order val="3"/>
          <c:tx>
            <c:strRef>
              <c:f>PivotTables!$F$57:$F$58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PivotTables!$F$59:$F$68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BB-4983-9FD9-56BC19683E8C}"/>
            </c:ext>
          </c:extLst>
        </c:ser>
        <c:ser>
          <c:idx val="4"/>
          <c:order val="4"/>
          <c:tx>
            <c:strRef>
              <c:f>PivotTables!$G$57:$G$58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PivotTables!$G$59:$G$68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BB-4983-9FD9-56BC19683E8C}"/>
            </c:ext>
          </c:extLst>
        </c:ser>
        <c:ser>
          <c:idx val="5"/>
          <c:order val="5"/>
          <c:tx>
            <c:strRef>
              <c:f>PivotTables!$H$57:$H$58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PivotTables!$A$59:$B$68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PivotTables!$H$59:$H$68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BB-4983-9FD9-56BC19683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250696"/>
        <c:axId val="1331233288"/>
      </c:barChart>
      <c:catAx>
        <c:axId val="133125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33288"/>
        <c:crosses val="autoZero"/>
        <c:auto val="1"/>
        <c:lblAlgn val="ctr"/>
        <c:lblOffset val="100"/>
        <c:noMultiLvlLbl val="0"/>
      </c:catAx>
      <c:valAx>
        <c:axId val="133123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25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dataset.xlsx]PivotTables!PivotTable6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PivotTables!$C$89:$C$90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PivotTables!$C$91:$C$100</c:f>
              <c:numCache>
                <c:formatCode>General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8-44E6-8B06-62EF4039C45A}"/>
            </c:ext>
          </c:extLst>
        </c:ser>
        <c:ser>
          <c:idx val="1"/>
          <c:order val="1"/>
          <c:tx>
            <c:strRef>
              <c:f>PivotTables!$D$89:$D$90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PivotTables!$D$91:$D$100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8-44E6-8B06-62EF4039C45A}"/>
            </c:ext>
          </c:extLst>
        </c:ser>
        <c:ser>
          <c:idx val="2"/>
          <c:order val="2"/>
          <c:tx>
            <c:strRef>
              <c:f>PivotTables!$E$89:$E$90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PivotTables!$E$91:$E$100</c:f>
              <c:numCache>
                <c:formatCode>General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8-44E6-8B06-62EF4039C45A}"/>
            </c:ext>
          </c:extLst>
        </c:ser>
        <c:ser>
          <c:idx val="3"/>
          <c:order val="3"/>
          <c:tx>
            <c:strRef>
              <c:f>PivotTables!$F$89:$F$90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PivotTables!$F$91:$F$100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88-44E6-8B06-62EF4039C45A}"/>
            </c:ext>
          </c:extLst>
        </c:ser>
        <c:ser>
          <c:idx val="4"/>
          <c:order val="4"/>
          <c:tx>
            <c:strRef>
              <c:f>PivotTables!$G$89:$G$90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PivotTables!$G$91:$G$100</c:f>
              <c:numCache>
                <c:formatCode>General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88-44E6-8B06-62EF4039C45A}"/>
            </c:ext>
          </c:extLst>
        </c:ser>
        <c:ser>
          <c:idx val="5"/>
          <c:order val="5"/>
          <c:tx>
            <c:strRef>
              <c:f>PivotTables!$H$89:$H$90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PivotTables!$A$91:$B$100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PivotTables!$H$91:$H$100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29656</c:v>
                </c:pt>
                <c:pt idx="5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88-44E6-8B06-62EF4039C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064584"/>
        <c:axId val="151066632"/>
      </c:barChart>
      <c:catAx>
        <c:axId val="15106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66632"/>
        <c:crosses val="autoZero"/>
        <c:auto val="1"/>
        <c:lblAlgn val="ctr"/>
        <c:lblOffset val="100"/>
        <c:noMultiLvlLbl val="0"/>
      </c:catAx>
      <c:valAx>
        <c:axId val="15106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6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171450</xdr:rowOff>
    </xdr:from>
    <xdr:to>
      <xdr:col>5</xdr:col>
      <xdr:colOff>742950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86DA3-D310-66C5-00CF-94E9B7B20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68</xdr:row>
      <xdr:rowOff>104775</xdr:rowOff>
    </xdr:from>
    <xdr:to>
      <xdr:col>7</xdr:col>
      <xdr:colOff>666750</xdr:colOff>
      <xdr:row>87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0D759C-FCEC-2C8C-0824-65521352B827}"/>
            </a:ext>
            <a:ext uri="{147F2762-F138-4A5C-976F-8EAC2B608ADB}">
              <a16:predDERef xmlns:a16="http://schemas.microsoft.com/office/drawing/2014/main" pred="{CDE86DA3-D310-66C5-00CF-94E9B7B20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161925</xdr:rowOff>
    </xdr:from>
    <xdr:to>
      <xdr:col>9</xdr:col>
      <xdr:colOff>19050</xdr:colOff>
      <xdr:row>124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49FBEA-962C-D926-A305-61E7C443CDB2}"/>
            </a:ext>
            <a:ext uri="{147F2762-F138-4A5C-976F-8EAC2B608ADB}">
              <a16:predDERef xmlns:a16="http://schemas.microsoft.com/office/drawing/2014/main" pred="{160D759C-FCEC-2C8C-0824-65521352B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759373842593" createdVersion="8" refreshedVersion="8" minRefreshableVersion="3" recordCount="88" xr:uid="{FDEC89B7-4E34-4A38-9D94-ADC95E65FCCE}">
  <cacheSource type="worksheet">
    <worksheetSource name="BikeSalesCleaned"/>
  </cacheSource>
  <cacheFields count="19">
    <cacheField name="Sales_Order #" numFmtId="0">
      <sharedItems/>
    </cacheField>
    <cacheField name="Date" numFmtId="0">
      <sharedItems containsSemiMixedTypes="0" containsString="0" containsNumber="1" containsInteger="1" minValue="44531" maxValue="44554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0">
      <sharedItems containsSemiMixedTypes="0" containsString="0" containsNumber="1" containsInteger="1" minValue="295" maxValue="1912"/>
    </cacheField>
    <cacheField name=" Unit_Price " numFmtId="0">
      <sharedItems containsSemiMixedTypes="0" containsString="0" containsNumber="1" containsInteger="1" minValue="540" maxValue="3400"/>
    </cacheField>
    <cacheField name=" Profit " numFmtId="0">
      <sharedItems containsSemiMixedTypes="0" containsString="0" containsNumber="1" containsInteger="1" minValue="245" maxValue="5908"/>
    </cacheField>
    <cacheField name=" Cost " numFmtId="0">
      <sharedItems containsSemiMixedTypes="0" containsString="0" containsNumber="1" containsInteger="1" minValue="295" maxValue="7592"/>
    </cacheField>
    <cacheField name="Revenue" numFmtId="0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76092789352" createdVersion="8" refreshedVersion="8" minRefreshableVersion="3" recordCount="88" xr:uid="{31BDDCFE-16D2-42C1-9010-96AA1BD7DA8C}">
  <cacheSource type="worksheet">
    <worksheetSource name="BikeSales"/>
  </cacheSource>
  <cacheFields count="19">
    <cacheField name="Sales_Order #" numFmtId="0">
      <sharedItems/>
    </cacheField>
    <cacheField name="Date" numFmtId="0">
      <sharedItems containsSemiMixedTypes="0" containsString="0" containsNumber="1" containsInteger="1" minValue="44531" maxValue="44554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0">
      <sharedItems containsSemiMixedTypes="0" containsString="0" containsNumber="1" containsInteger="1" minValue="295" maxValue="1912"/>
    </cacheField>
    <cacheField name=" Unit_Price " numFmtId="0">
      <sharedItems containsSemiMixedTypes="0" containsString="0" containsNumber="1" containsInteger="1" minValue="540" maxValue="3400"/>
    </cacheField>
    <cacheField name=" Profit " numFmtId="0">
      <sharedItems containsSemiMixedTypes="0" containsString="0" containsNumber="1" containsInteger="1" minValue="245" maxValue="5908"/>
    </cacheField>
    <cacheField name=" Cost " numFmtId="0">
      <sharedItems containsSemiMixedTypes="0" containsString="0" containsNumber="1" containsInteger="1" minValue="295" maxValue="7592"/>
    </cacheField>
    <cacheField name="Revenue" numFmtId="0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841700925928" createdVersion="8" refreshedVersion="8" minRefreshableVersion="3" recordCount="12" xr:uid="{5F7C6CC1-3A8D-4E77-A5C2-D94FE9B87D9C}">
  <cacheSource type="worksheet">
    <worksheetSource name="SalesEngland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n v="44531"/>
    <n v="1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n v="44531"/>
    <n v="1"/>
    <s v="December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n v="44532"/>
    <n v="2"/>
    <s v="December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n v="44532"/>
    <n v="2"/>
    <s v="December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n v="44533"/>
    <n v="3"/>
    <s v="December"/>
    <x v="0"/>
    <n v="37"/>
    <x v="0"/>
    <x v="0"/>
    <x v="0"/>
    <s v="California"/>
    <s v="Bikes"/>
    <s v="Mountain Bikes"/>
    <s v="Mountain-200 Black, 46"/>
    <x v="2"/>
    <n v="1252"/>
    <n v="2295"/>
    <n v="2086"/>
    <n v="2504"/>
    <n v="4590"/>
  </r>
  <r>
    <s v="000261700"/>
    <n v="44533"/>
    <n v="3"/>
    <s v="December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n v="44533"/>
    <n v="3"/>
    <s v="December"/>
    <x v="0"/>
    <n v="37"/>
    <x v="0"/>
    <x v="1"/>
    <x v="0"/>
    <s v="Washington"/>
    <s v="Bikes"/>
    <s v="Mountain Bikes"/>
    <s v="Mountain-200 Black, 46"/>
    <x v="1"/>
    <n v="1252"/>
    <n v="2295"/>
    <n v="1043"/>
    <n v="1252"/>
    <n v="2295"/>
  </r>
  <r>
    <s v="000261702"/>
    <n v="44534"/>
    <n v="4"/>
    <s v="December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n v="44535"/>
    <n v="5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n v="44535"/>
    <m/>
    <s v="December"/>
    <x v="0"/>
    <n v="42"/>
    <x v="0"/>
    <x v="1"/>
    <x v="3"/>
    <s v="Nordrhein-Westfalen"/>
    <s v="Bikes"/>
    <s v="Mountain Bikes"/>
    <s v="Mountain-200 Black, 38"/>
    <x v="0"/>
    <n v="1252"/>
    <n v="2295"/>
    <n v="4172"/>
    <n v="5008"/>
    <n v="9180"/>
  </r>
  <r>
    <s v="000261705"/>
    <n v="44535"/>
    <n v="5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n v="44535"/>
    <n v="5"/>
    <s v="December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n v="44536"/>
    <n v="6"/>
    <s v="December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n v="44536"/>
    <n v="6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09"/>
    <n v="44536"/>
    <n v="6"/>
    <s v="December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n v="44536"/>
    <n v="6"/>
    <s v="December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n v="44537"/>
    <n v="7"/>
    <s v="December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n v="44537"/>
    <n v="7"/>
    <s v="December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n v="44538"/>
    <n v="8"/>
    <s v="December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n v="44538"/>
    <n v="8"/>
    <s v="December"/>
    <x v="0"/>
    <n v="30"/>
    <x v="1"/>
    <x v="0"/>
    <x v="4"/>
    <s v="British Columbia"/>
    <s v="Bikes"/>
    <s v="Mountain Bikes"/>
    <s v="Mountain-200 Silver, 38"/>
    <x v="0"/>
    <n v="1266"/>
    <n v="2320"/>
    <n v="4216"/>
    <n v="5064"/>
    <n v="9280"/>
  </r>
  <r>
    <s v="000261715"/>
    <n v="44538"/>
    <n v="8"/>
    <s v="December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n v="44538"/>
    <n v="8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n v="44539"/>
    <n v="9"/>
    <s v="December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n v="44539"/>
    <n v="9"/>
    <s v="December"/>
    <x v="0"/>
    <n v="41"/>
    <x v="0"/>
    <x v="0"/>
    <x v="3"/>
    <s v="Hamburg"/>
    <s v="Bikes"/>
    <s v="Mountain Bikes"/>
    <s v="Mountain-200 Silver, 42"/>
    <x v="1"/>
    <n v="1266"/>
    <n v="2320"/>
    <n v="1054"/>
    <n v="1266"/>
    <n v="2320"/>
  </r>
  <r>
    <s v="000261719"/>
    <n v="44540"/>
    <n v="10"/>
    <s v="December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n v="44540"/>
    <n v="10"/>
    <s v="December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n v="44540"/>
    <n v="10"/>
    <s v="December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n v="44540"/>
    <n v="10"/>
    <s v="December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n v="44540"/>
    <n v="10"/>
    <s v="December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n v="44540"/>
    <n v="10"/>
    <s v="December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n v="44541"/>
    <n v="11"/>
    <s v="December"/>
    <x v="0"/>
    <n v="24"/>
    <x v="2"/>
    <x v="0"/>
    <x v="5"/>
    <s v="Seine (Paris)"/>
    <s v="Bikes"/>
    <s v="Mountain Bikes"/>
    <s v="Mountain-200 Black, 38"/>
    <x v="3"/>
    <n v="1252"/>
    <n v="2295"/>
    <n v="3129"/>
    <n v="3756"/>
    <n v="6885"/>
  </r>
  <r>
    <s v="000261726"/>
    <n v="44541"/>
    <n v="11"/>
    <s v="December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n v="44541"/>
    <n v="11"/>
    <s v="December"/>
    <x v="0"/>
    <n v="27"/>
    <x v="1"/>
    <x v="1"/>
    <x v="4"/>
    <s v="British Columbia"/>
    <s v="Bikes"/>
    <s v="Mountain Bikes"/>
    <s v="Mountain-200 Black, 46"/>
    <x v="1"/>
    <n v="1252"/>
    <n v="2295"/>
    <n v="1043"/>
    <n v="1252"/>
    <n v="2295"/>
  </r>
  <r>
    <s v="000261728"/>
    <n v="44541"/>
    <n v="11"/>
    <s v="December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n v="44541"/>
    <n v="11"/>
    <s v="December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n v="44542"/>
    <n v="12"/>
    <s v="December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n v="44542"/>
    <n v="12"/>
    <s v="December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n v="44542"/>
    <n v="12"/>
    <s v="December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n v="44542"/>
    <n v="12"/>
    <s v="December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n v="44542"/>
    <n v="12"/>
    <s v="December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n v="44543"/>
    <n v="13"/>
    <s v="December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n v="44543"/>
    <n v="13"/>
    <s v="December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n v="44543"/>
    <n v="13"/>
    <s v="December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n v="44543"/>
    <n v="13"/>
    <s v="December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n v="44544"/>
    <n v="14"/>
    <s v="December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n v="44544"/>
    <n v="14"/>
    <s v="December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n v="44544"/>
    <n v="14"/>
    <s v="December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n v="44545"/>
    <n v="15"/>
    <s v="December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n v="44546"/>
    <n v="16"/>
    <s v="December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n v="44546"/>
    <n v="16"/>
    <s v="December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n v="44546"/>
    <n v="16"/>
    <s v="December"/>
    <x v="0"/>
    <n v="27"/>
    <x v="1"/>
    <x v="0"/>
    <x v="5"/>
    <s v="Seine et Marne"/>
    <s v="Bikes"/>
    <s v="Mountain Bikes"/>
    <s v="Mountain-200 Silver, 46"/>
    <x v="1"/>
    <n v="1266"/>
    <n v="2320"/>
    <n v="1054"/>
    <n v="1266"/>
    <n v="2320"/>
  </r>
  <r>
    <s v="000261746"/>
    <n v="44547"/>
    <n v="17"/>
    <s v="December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n v="44547"/>
    <n v="17"/>
    <s v="December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n v="44547"/>
    <n v="17"/>
    <s v="December"/>
    <x v="0"/>
    <n v="42"/>
    <x v="0"/>
    <x v="0"/>
    <x v="3"/>
    <s v="Nordrhein-Westfalen"/>
    <s v="Bikes"/>
    <s v="Mountain Bikes"/>
    <s v="Mountain-200 Silver, 46"/>
    <x v="1"/>
    <n v="1266"/>
    <n v="2320"/>
    <n v="1054"/>
    <n v="1266"/>
    <n v="2320"/>
  </r>
  <r>
    <s v="000261749"/>
    <n v="44548"/>
    <n v="18"/>
    <s v="December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n v="44548"/>
    <n v="18"/>
    <s v="December"/>
    <x v="0"/>
    <n v="38"/>
    <x v="0"/>
    <x v="0"/>
    <x v="3"/>
    <s v="Nordrhein-Westfalen"/>
    <s v="Bikes"/>
    <s v="Mountain Bikes"/>
    <s v="Mountain-200 Silver, 46"/>
    <x v="0"/>
    <n v="1266"/>
    <n v="2320"/>
    <n v="4216"/>
    <n v="5064"/>
    <n v="9280"/>
  </r>
  <r>
    <s v="000261751"/>
    <n v="44548"/>
    <n v="18"/>
    <s v="December"/>
    <x v="0"/>
    <n v="24"/>
    <x v="2"/>
    <x v="0"/>
    <x v="5"/>
    <s v="Seine Saint Denis"/>
    <s v="Bikes"/>
    <s v="Mountain Bikes"/>
    <s v="Mountain-200 Silver, 38"/>
    <x v="3"/>
    <n v="1266"/>
    <n v="2320"/>
    <n v="3162"/>
    <n v="3798"/>
    <n v="6960"/>
  </r>
  <r>
    <s v="000261752"/>
    <n v="44548"/>
    <n v="18"/>
    <s v="December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n v="44548"/>
    <n v="18"/>
    <s v="December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n v="44548"/>
    <n v="18"/>
    <s v="December"/>
    <x v="0"/>
    <n v="26"/>
    <x v="1"/>
    <x v="1"/>
    <x v="5"/>
    <s v="Seine (Paris)"/>
    <s v="Bikes"/>
    <s v="Mountain Bikes"/>
    <s v="Mountain-200 Black, 46"/>
    <x v="1"/>
    <n v="1252"/>
    <n v="2295"/>
    <n v="1043"/>
    <n v="1252"/>
    <n v="2295"/>
  </r>
  <r>
    <s v="000261755"/>
    <n v="44548"/>
    <n v="18"/>
    <s v="December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n v="44549"/>
    <n v="19"/>
    <s v="December"/>
    <x v="0"/>
    <n v="17"/>
    <x v="2"/>
    <x v="1"/>
    <x v="5"/>
    <s v="Nord"/>
    <s v="Bikes"/>
    <s v="Mountain Bikes"/>
    <s v="Mountain-200 Silver, 46"/>
    <x v="0"/>
    <n v="1266"/>
    <n v="2320"/>
    <n v="4216"/>
    <n v="5064"/>
    <n v="9280"/>
  </r>
  <r>
    <s v="000261757"/>
    <n v="44549"/>
    <n v="19"/>
    <s v="December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n v="44549"/>
    <n v="19"/>
    <s v="December"/>
    <x v="0"/>
    <n v="25"/>
    <x v="1"/>
    <x v="1"/>
    <x v="5"/>
    <s v="Seine (Paris)"/>
    <s v="Bikes"/>
    <s v="Mountain Bikes"/>
    <s v="Mountain-200 Black, 38"/>
    <x v="0"/>
    <n v="1252"/>
    <n v="2295"/>
    <n v="4172"/>
    <n v="5008"/>
    <n v="9180"/>
  </r>
  <r>
    <s v="000261759"/>
    <n v="44549"/>
    <n v="19"/>
    <s v="December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n v="44549"/>
    <n v="19"/>
    <s v="December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n v="44549"/>
    <n v="19"/>
    <s v="December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n v="44549"/>
    <n v="19"/>
    <s v="December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n v="44549"/>
    <n v="19"/>
    <s v="December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n v="44549"/>
    <n v="19"/>
    <s v="December"/>
    <x v="0"/>
    <n v="56"/>
    <x v="0"/>
    <x v="0"/>
    <x v="3"/>
    <s v="Hessen"/>
    <s v="Bikes"/>
    <s v="Mountain Bikes"/>
    <s v="Mountain-200 Black, 46"/>
    <x v="2"/>
    <n v="1252"/>
    <n v="2295"/>
    <n v="2086"/>
    <n v="2504"/>
    <n v="4590"/>
  </r>
  <r>
    <s v="000261765"/>
    <n v="44549"/>
    <n v="19"/>
    <s v="December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n v="44550"/>
    <n v="20"/>
    <s v="December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n v="44550"/>
    <n v="20"/>
    <s v="December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n v="44550"/>
    <n v="20"/>
    <s v="December"/>
    <x v="0"/>
    <n v="29"/>
    <x v="1"/>
    <x v="1"/>
    <x v="4"/>
    <s v="British Columbia"/>
    <s v="Bikes"/>
    <s v="Mountain Bikes"/>
    <s v="Mountain-500 Black, 52"/>
    <x v="3"/>
    <n v="295"/>
    <n v="540"/>
    <n v="735"/>
    <n v="885"/>
    <n v="1620"/>
  </r>
  <r>
    <s v="000261769"/>
    <n v="44550"/>
    <n v="20"/>
    <s v="December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n v="44550"/>
    <n v="20"/>
    <s v="December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n v="44551"/>
    <n v="21"/>
    <s v="December"/>
    <x v="0"/>
    <n v="26"/>
    <x v="1"/>
    <x v="1"/>
    <x v="5"/>
    <s v="Somme"/>
    <s v="Bikes"/>
    <s v="Mountain Bikes"/>
    <s v="Mountain-200 Silver, 38"/>
    <x v="3"/>
    <n v="1266"/>
    <n v="2320"/>
    <n v="3162"/>
    <n v="3798"/>
    <n v="6960"/>
  </r>
  <r>
    <s v="000261772"/>
    <n v="44551"/>
    <n v="21"/>
    <s v="December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n v="44552"/>
    <n v="22"/>
    <s v="December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n v="44552"/>
    <n v="22"/>
    <s v="December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n v="44552"/>
    <n v="22"/>
    <s v="December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n v="44552"/>
    <n v="22"/>
    <s v="December"/>
    <x v="0"/>
    <n v="25"/>
    <x v="1"/>
    <x v="1"/>
    <x v="5"/>
    <s v="Seine (Paris)"/>
    <s v="Bikes"/>
    <s v="Mountain Bikes"/>
    <s v="Mountain-200 Black, 38"/>
    <x v="1"/>
    <n v="1252"/>
    <n v="2295"/>
    <n v="1043"/>
    <n v="1252"/>
    <n v="2295"/>
  </r>
  <r>
    <s v="000261777"/>
    <n v="44552"/>
    <n v="22"/>
    <s v="December"/>
    <x v="0"/>
    <n v="27"/>
    <x v="1"/>
    <x v="0"/>
    <x v="4"/>
    <s v="British Columbia"/>
    <s v="Bikes"/>
    <s v="Mountain Bikes"/>
    <s v="Mountain-200 Black, 46"/>
    <x v="1"/>
    <n v="1252"/>
    <n v="2295"/>
    <n v="1043"/>
    <n v="1252"/>
    <n v="2295"/>
  </r>
  <r>
    <s v="000261778"/>
    <n v="44552"/>
    <n v="22"/>
    <s v="December"/>
    <x v="0"/>
    <n v="41"/>
    <x v="0"/>
    <x v="1"/>
    <x v="3"/>
    <s v="Hessen"/>
    <s v="Bikes"/>
    <s v="Mountain Bikes"/>
    <s v="Mountain-200 Silver, 38"/>
    <x v="1"/>
    <n v="1266"/>
    <n v="2320"/>
    <n v="1054"/>
    <n v="1266"/>
    <n v="2320"/>
  </r>
  <r>
    <s v="000261779"/>
    <n v="44553"/>
    <n v="23"/>
    <s v="December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n v="44553"/>
    <n v="23"/>
    <s v="December"/>
    <x v="0"/>
    <n v="31"/>
    <x v="1"/>
    <x v="0"/>
    <x v="4"/>
    <s v="British Columbia"/>
    <s v="Bikes"/>
    <s v="Mountain Bikes"/>
    <s v="Mountain-200 Black, 42"/>
    <x v="1"/>
    <n v="1252"/>
    <n v="2295"/>
    <n v="1043"/>
    <n v="1252"/>
    <n v="2295"/>
  </r>
  <r>
    <s v="000261781"/>
    <n v="44553"/>
    <n v="23"/>
    <s v="December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n v="44554"/>
    <n v="24"/>
    <s v="December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n v="44531"/>
    <n v="1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695"/>
    <n v="44531"/>
    <n v="1"/>
    <s v="December"/>
    <n v="2021"/>
    <n v="44"/>
    <s v="Adults (35-64)"/>
    <s v="M"/>
    <x v="1"/>
    <s v="England"/>
    <s v="Bikes"/>
    <s v="Mountain Bikes"/>
    <s v="Mountain-200 Silver, 42"/>
    <n v="1"/>
    <n v="1266"/>
    <n v="2320"/>
    <n v="1054"/>
    <n v="1266"/>
    <n v="2320"/>
  </r>
  <r>
    <s v="000261697"/>
    <n v="44532"/>
    <n v="2"/>
    <s v="December"/>
    <n v="2021"/>
    <n v="37"/>
    <s v="Adults (35-64)"/>
    <s v="M"/>
    <x v="0"/>
    <s v="California"/>
    <s v="Bikes"/>
    <s v="Mountain Bikes"/>
    <s v="Mountain-400-W Silver, 46"/>
    <n v="2"/>
    <n v="420"/>
    <n v="769"/>
    <n v="698"/>
    <n v="840"/>
    <n v="1538"/>
  </r>
  <r>
    <s v="000261698"/>
    <n v="44532"/>
    <n v="2"/>
    <s v="December"/>
    <n v="2021"/>
    <n v="31"/>
    <s v="Young Adults (25-34)"/>
    <s v="F"/>
    <x v="2"/>
    <s v="New South Wales"/>
    <s v="Bikes"/>
    <s v="Mountain Bikes"/>
    <s v="Mountain-400-W Silver, 42"/>
    <n v="1"/>
    <n v="420"/>
    <n v="769"/>
    <n v="349"/>
    <n v="420"/>
    <n v="769"/>
  </r>
  <r>
    <s v="000261699"/>
    <n v="44533"/>
    <n v="3"/>
    <s v="December"/>
    <n v="2021"/>
    <n v="37"/>
    <s v="Adults (35-64)"/>
    <s v="F"/>
    <x v="3"/>
    <s v="California"/>
    <s v="Bikes"/>
    <s v="Mountain Bikes"/>
    <s v="Mountain-200 Black, 46"/>
    <n v="2"/>
    <n v="1252"/>
    <n v="2295"/>
    <n v="2086"/>
    <n v="2504"/>
    <n v="4590"/>
  </r>
  <r>
    <s v="000261700"/>
    <n v="44533"/>
    <n v="3"/>
    <s v="December"/>
    <n v="2021"/>
    <n v="24"/>
    <s v="Youth (&lt;25)"/>
    <s v="F"/>
    <x v="1"/>
    <s v="England"/>
    <s v="Bikes"/>
    <s v="Mountain Bikes"/>
    <s v="Mountain-200 Black, 38"/>
    <n v="1"/>
    <n v="1252"/>
    <n v="2295"/>
    <n v="1043"/>
    <n v="1252"/>
    <n v="2295"/>
  </r>
  <r>
    <s v="000261701"/>
    <n v="44533"/>
    <n v="3"/>
    <s v="December"/>
    <n v="2021"/>
    <n v="37"/>
    <s v="Adults (35-64)"/>
    <s v="M"/>
    <x v="4"/>
    <s v="Washington"/>
    <s v="Bikes"/>
    <s v="Mountain Bikes"/>
    <s v="Mountain-200 Black, 46"/>
    <n v="1"/>
    <n v="1252"/>
    <n v="2295"/>
    <n v="1043"/>
    <n v="1252"/>
    <n v="2295"/>
  </r>
  <r>
    <s v="000261702"/>
    <n v="44534"/>
    <n v="4"/>
    <s v="December"/>
    <n v="2021"/>
    <n v="31"/>
    <s v="Young Adults (25-34)"/>
    <s v="F"/>
    <x v="2"/>
    <s v="New South Wales"/>
    <s v="Bikes"/>
    <s v="Mountain Bikes"/>
    <s v="Mountain-400-W Silver, 42"/>
    <n v="4"/>
    <n v="420"/>
    <n v="769"/>
    <n v="1396"/>
    <n v="1680"/>
    <n v="3076"/>
  </r>
  <r>
    <s v="000261703"/>
    <n v="44535"/>
    <n v="5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704"/>
    <n v="44535"/>
    <m/>
    <s v="December"/>
    <n v="2021"/>
    <n v="42"/>
    <s v="Adults (35-64)"/>
    <s v="M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n v="44535"/>
    <n v="5"/>
    <s v="December"/>
    <n v="2021"/>
    <n v="35"/>
    <s v="Adults (35-64)"/>
    <s v="F"/>
    <x v="2"/>
    <s v="Queensland"/>
    <s v="Bikes"/>
    <s v="Mountain Bikes"/>
    <s v="Mountain-200 Silver, 38"/>
    <n v="1"/>
    <n v="1266"/>
    <n v="2320"/>
    <n v="1054"/>
    <n v="1266"/>
    <n v="2320"/>
  </r>
  <r>
    <s v="000261706"/>
    <n v="44535"/>
    <n v="5"/>
    <s v="December"/>
    <n v="2021"/>
    <n v="37"/>
    <s v="Adults (35-64)"/>
    <s v="F"/>
    <x v="0"/>
    <s v="California"/>
    <s v="Bikes"/>
    <s v="Mountain Bikes"/>
    <s v="Mountain-200 Black, 46"/>
    <n v="1"/>
    <n v="1252"/>
    <n v="2295"/>
    <n v="1043"/>
    <n v="1252"/>
    <n v="2295"/>
  </r>
  <r>
    <s v="000261707"/>
    <n v="44536"/>
    <n v="6"/>
    <s v="December"/>
    <n v="2021"/>
    <n v="23"/>
    <s v="Youth (&lt;25)"/>
    <s v="M"/>
    <x v="1"/>
    <s v="England"/>
    <s v="Bikes"/>
    <s v="Mountain Bikes"/>
    <s v="Mountain-400-W Silver, 46"/>
    <n v="3"/>
    <n v="420"/>
    <n v="769"/>
    <n v="1047"/>
    <n v="1260"/>
    <n v="2307"/>
  </r>
  <r>
    <s v="000261708"/>
    <n v="44536"/>
    <n v="6"/>
    <s v="December"/>
    <n v="2021"/>
    <n v="27"/>
    <s v="Young Adults (25-34)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09"/>
    <n v="44536"/>
    <n v="6"/>
    <s v="December"/>
    <n v="2021"/>
    <n v="36"/>
    <s v="Adults (35-64)"/>
    <s v="M"/>
    <x v="2"/>
    <s v="New South Wales"/>
    <s v="Bikes"/>
    <s v="Mountain Bikes"/>
    <s v="Mountain-200 Black, 42"/>
    <n v="1"/>
    <n v="1252"/>
    <n v="2295"/>
    <n v="1043"/>
    <n v="1252"/>
    <n v="2295"/>
  </r>
  <r>
    <s v="000261710"/>
    <n v="44536"/>
    <n v="6"/>
    <s v="December"/>
    <n v="2021"/>
    <n v="47"/>
    <s v="Adults (35-64)"/>
    <s v="M"/>
    <x v="1"/>
    <s v="England"/>
    <s v="Bikes"/>
    <s v="Mountain Bikes"/>
    <s v="Mountain-200 Silver, 38"/>
    <n v="1"/>
    <n v="1266"/>
    <n v="2320"/>
    <n v="1054"/>
    <n v="1266"/>
    <n v="2320"/>
  </r>
  <r>
    <s v="000261711"/>
    <n v="44537"/>
    <n v="7"/>
    <s v="December"/>
    <n v="2021"/>
    <n v="30"/>
    <s v="Young Adults (25-34)"/>
    <s v="M"/>
    <x v="0"/>
    <s v="California"/>
    <s v="Bikes"/>
    <s v="Mountain Bikes"/>
    <s v="Mountain-400-W Silver, 38"/>
    <n v="4"/>
    <n v="420"/>
    <n v="769"/>
    <n v="1396"/>
    <n v="1680"/>
    <n v="3076"/>
  </r>
  <r>
    <s v="000261712"/>
    <n v="44537"/>
    <n v="7"/>
    <s v="December"/>
    <n v="2021"/>
    <n v="38"/>
    <s v="Adults (35-64)"/>
    <s v="M"/>
    <x v="0"/>
    <s v="California"/>
    <s v="Bikes"/>
    <s v="Mountain Bikes"/>
    <s v="Mountain-200 Silver, 42"/>
    <n v="2"/>
    <n v="1266"/>
    <n v="2320"/>
    <n v="2108"/>
    <n v="2532"/>
    <n v="4640"/>
  </r>
  <r>
    <s v="000261713"/>
    <n v="44538"/>
    <n v="8"/>
    <s v="December"/>
    <n v="2021"/>
    <n v="19"/>
    <s v="Youth (&lt;25)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14"/>
    <n v="44538"/>
    <n v="8"/>
    <s v="December"/>
    <n v="2021"/>
    <n v="30"/>
    <s v="Young Adults (25-34)"/>
    <s v="F"/>
    <x v="6"/>
    <s v="British Columbia"/>
    <s v="Bikes"/>
    <s v="Mountain Bikes"/>
    <s v="Mountain-200 Silver, 38"/>
    <n v="4"/>
    <n v="1266"/>
    <n v="2320"/>
    <n v="4216"/>
    <n v="5064"/>
    <n v="9280"/>
  </r>
  <r>
    <s v="000261715"/>
    <n v="44538"/>
    <n v="8"/>
    <s v="December"/>
    <n v="2021"/>
    <n v="39"/>
    <s v="Adults (35-64)"/>
    <s v="F"/>
    <x v="0"/>
    <s v="Oregon"/>
    <s v="Bikes"/>
    <s v="Mountain Bikes"/>
    <s v="Mountain-500 Black, 42"/>
    <n v="2"/>
    <n v="1252"/>
    <n v="2295"/>
    <n v="2086"/>
    <n v="2504"/>
    <n v="4590"/>
  </r>
  <r>
    <s v="000261716"/>
    <n v="44538"/>
    <n v="8"/>
    <s v="December"/>
    <n v="2021"/>
    <n v="35"/>
    <s v="Adults (35-64)"/>
    <s v="F"/>
    <x v="0"/>
    <s v="California"/>
    <s v="Bikes"/>
    <s v="Mountain Bikes"/>
    <s v="Mountain-500 Black, 42"/>
    <n v="1"/>
    <n v="295"/>
    <n v="540"/>
    <n v="245"/>
    <n v="295"/>
    <n v="540"/>
  </r>
  <r>
    <s v="000261717"/>
    <n v="44539"/>
    <n v="9"/>
    <s v="December"/>
    <n v="2021"/>
    <n v="33"/>
    <s v="Young Adults (25-34)"/>
    <s v="F"/>
    <x v="2"/>
    <s v="Victoria"/>
    <s v="Bikes"/>
    <s v="Mountain Bikes"/>
    <s v="Mountain-100 Black, 38"/>
    <n v="2"/>
    <n v="1898"/>
    <n v="3375"/>
    <n v="2954"/>
    <n v="3796"/>
    <n v="6750"/>
  </r>
  <r>
    <s v="000261718"/>
    <n v="44539"/>
    <n v="9"/>
    <s v="December"/>
    <n v="2021"/>
    <n v="41"/>
    <s v="Adults (35-64)"/>
    <s v="F"/>
    <x v="5"/>
    <s v="Hamburg"/>
    <s v="Bikes"/>
    <s v="Mountain Bikes"/>
    <s v="Mountain-200 Silver, 42"/>
    <n v="1"/>
    <n v="1266"/>
    <n v="2320"/>
    <n v="1054"/>
    <n v="1266"/>
    <n v="2320"/>
  </r>
  <r>
    <s v="000261719"/>
    <n v="44540"/>
    <n v="10"/>
    <s v="December"/>
    <n v="2021"/>
    <n v="34"/>
    <s v="Young Adults (25-34)"/>
    <s v="F"/>
    <x v="0"/>
    <s v="California"/>
    <s v="Bikes"/>
    <s v="Mountain Bikes"/>
    <s v="Mountain-200 Black, 42"/>
    <n v="2"/>
    <n v="1252"/>
    <n v="2295"/>
    <n v="2086"/>
    <n v="2504"/>
    <n v="4590"/>
  </r>
  <r>
    <s v="000261720"/>
    <n v="44540"/>
    <n v="10"/>
    <s v="December"/>
    <n v="2021"/>
    <n v="40"/>
    <s v="Adults (35-64)"/>
    <s v="M"/>
    <x v="2"/>
    <s v="New South Wales"/>
    <s v="Bikes"/>
    <s v="Mountain Bikes"/>
    <s v="Mountain-200 Black, 42"/>
    <n v="2"/>
    <n v="1252"/>
    <n v="2295"/>
    <n v="2086"/>
    <n v="2504"/>
    <n v="4590"/>
  </r>
  <r>
    <s v="000261721"/>
    <n v="44540"/>
    <n v="10"/>
    <s v="December"/>
    <n v="2021"/>
    <n v="26"/>
    <s v="Young Adults (25-34)"/>
    <s v="M"/>
    <x v="1"/>
    <s v="England"/>
    <s v="Bikes"/>
    <s v="Mountain Bikes"/>
    <s v="Mountain-200 Black, 38"/>
    <n v="1"/>
    <n v="1252"/>
    <n v="2295"/>
    <n v="1043"/>
    <n v="1252"/>
    <n v="2295"/>
  </r>
  <r>
    <s v="000261722"/>
    <n v="44540"/>
    <n v="10"/>
    <s v="December"/>
    <n v="2021"/>
    <n v="34"/>
    <s v="Young Adults (25-34)"/>
    <s v="M"/>
    <x v="0"/>
    <s v="California"/>
    <s v="Bikes"/>
    <s v="Mountain Bikes"/>
    <s v="Mountain-500 Black, 40"/>
    <n v="1"/>
    <n v="295"/>
    <n v="540"/>
    <n v="245"/>
    <n v="295"/>
    <n v="540"/>
  </r>
  <r>
    <s v="000261723"/>
    <n v="44540"/>
    <n v="10"/>
    <s v="December"/>
    <n v="2021"/>
    <n v="34"/>
    <s v="Young Adults (25-34)"/>
    <s v="F"/>
    <x v="0"/>
    <s v="Washington"/>
    <s v="Bikes"/>
    <s v="Mountain Bikes"/>
    <s v="Mountain-100 Silver, 44"/>
    <n v="1"/>
    <n v="1912"/>
    <n v="3400"/>
    <n v="1488"/>
    <n v="1912"/>
    <n v="3400"/>
  </r>
  <r>
    <s v="000261724"/>
    <n v="44540"/>
    <n v="10"/>
    <s v="December"/>
    <n v="2021"/>
    <n v="38"/>
    <s v="Adults (35-64)"/>
    <s v="M"/>
    <x v="2"/>
    <s v="New South Wales"/>
    <s v="Bikes"/>
    <s v="Mountain Bikes"/>
    <s v="Mountain-200 Black, 38"/>
    <n v="1"/>
    <n v="1252"/>
    <n v="2295"/>
    <n v="1043"/>
    <n v="1252"/>
    <n v="2295"/>
  </r>
  <r>
    <s v="000261725"/>
    <n v="44541"/>
    <n v="11"/>
    <s v="December"/>
    <n v="2021"/>
    <n v="24"/>
    <s v="Youth (&lt;25)"/>
    <s v="F"/>
    <x v="7"/>
    <s v="Seine (Paris)"/>
    <s v="Bikes"/>
    <s v="Mountain Bikes"/>
    <s v="Mountain-200 Black, 38"/>
    <n v="3"/>
    <n v="1252"/>
    <n v="2295"/>
    <n v="3129"/>
    <n v="3756"/>
    <n v="6885"/>
  </r>
  <r>
    <s v="000261726"/>
    <n v="44541"/>
    <n v="11"/>
    <s v="December"/>
    <n v="2021"/>
    <n v="41"/>
    <s v="Adults (35-64)"/>
    <s v="F"/>
    <x v="2"/>
    <s v="New South Wales"/>
    <s v="Bikes"/>
    <s v="Mountain Bikes"/>
    <s v="Mountain-400-W Silver, 38"/>
    <n v="2"/>
    <n v="420"/>
    <n v="769"/>
    <n v="698"/>
    <n v="840"/>
    <n v="1538"/>
  </r>
  <r>
    <s v="000261727"/>
    <n v="44541"/>
    <n v="11"/>
    <s v="December"/>
    <n v="2021"/>
    <n v="27"/>
    <s v="Young Adults (25-34)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28"/>
    <n v="44541"/>
    <n v="11"/>
    <s v="December"/>
    <n v="2021"/>
    <n v="37"/>
    <s v="Adults (35-64)"/>
    <s v="M"/>
    <x v="0"/>
    <s v="California"/>
    <s v="Bikes"/>
    <s v="Mountain Bikes"/>
    <s v="Mountain-400-W Silver, 46"/>
    <n v="1"/>
    <n v="420"/>
    <n v="769"/>
    <n v="349"/>
    <n v="420"/>
    <n v="769"/>
  </r>
  <r>
    <s v="000261729"/>
    <n v="44541"/>
    <n v="11"/>
    <s v="December"/>
    <n v="2021"/>
    <n v="38"/>
    <s v="Adults (35-64)"/>
    <s v="F"/>
    <x v="0"/>
    <s v="California"/>
    <s v="Bikes"/>
    <s v="Mountain Bikes"/>
    <s v="Mountain-200 Silver, 38"/>
    <n v="1"/>
    <n v="1266"/>
    <n v="2320"/>
    <n v="1054"/>
    <n v="1266"/>
    <n v="2320"/>
  </r>
  <r>
    <s v="000261730"/>
    <n v="44542"/>
    <n v="12"/>
    <s v="December"/>
    <n v="2021"/>
    <n v="36"/>
    <s v="Adults (35-64)"/>
    <s v="F"/>
    <x v="2"/>
    <s v="New South Wales"/>
    <s v="Bikes"/>
    <s v="Mountain Bikes"/>
    <s v="Mountain-200 Silver, 42"/>
    <n v="4"/>
    <n v="1266"/>
    <n v="2320"/>
    <n v="4216"/>
    <n v="5064"/>
    <n v="9280"/>
  </r>
  <r>
    <s v="000261731"/>
    <n v="44542"/>
    <n v="12"/>
    <s v="December"/>
    <n v="2021"/>
    <n v="37"/>
    <s v="Adults (35-64)"/>
    <s v="M"/>
    <x v="0"/>
    <s v="California"/>
    <s v="Bikes"/>
    <s v="Mountain Bikes"/>
    <s v="Mountain-400-W Silver, 46"/>
    <n v="4"/>
    <n v="420"/>
    <n v="769"/>
    <n v="1396"/>
    <n v="1680"/>
    <n v="3076"/>
  </r>
  <r>
    <s v="000261732"/>
    <n v="44542"/>
    <n v="12"/>
    <s v="December"/>
    <n v="2021"/>
    <n v="34"/>
    <s v="Young Adults (25-34)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33"/>
    <n v="44542"/>
    <n v="12"/>
    <s v="December"/>
    <n v="2021"/>
    <n v="35"/>
    <s v="Adults (35-64)"/>
    <s v="F"/>
    <x v="2"/>
    <s v="Victoria"/>
    <s v="Bikes"/>
    <s v="Mountain Bikes"/>
    <s v="Mountain-200 Silver, 42"/>
    <n v="1"/>
    <n v="1266"/>
    <n v="2320"/>
    <n v="1054"/>
    <n v="1266"/>
    <n v="2320"/>
  </r>
  <r>
    <s v="000261734"/>
    <n v="44542"/>
    <n v="12"/>
    <s v="December"/>
    <n v="2021"/>
    <n v="38"/>
    <s v="Adults (35-64)"/>
    <s v="F"/>
    <x v="0"/>
    <s v="Washington"/>
    <s v="Bikes"/>
    <s v="Mountain Bikes"/>
    <s v="Mountain-200 Silver, 42"/>
    <n v="1"/>
    <n v="1266"/>
    <n v="2320"/>
    <n v="1054"/>
    <n v="1266"/>
    <n v="2320"/>
  </r>
  <r>
    <s v="000261735"/>
    <n v="44543"/>
    <n v="13"/>
    <s v="December"/>
    <n v="2021"/>
    <n v="32"/>
    <s v="Young Adults (25-34)"/>
    <s v="F"/>
    <x v="2"/>
    <s v="Queensland"/>
    <s v="Bikes"/>
    <s v="Mountain Bikes"/>
    <s v="Mountain-200 Silver, 42"/>
    <n v="3"/>
    <n v="1266"/>
    <n v="2320"/>
    <n v="3162"/>
    <n v="3798"/>
    <n v="6960"/>
  </r>
  <r>
    <s v="000261736"/>
    <n v="44543"/>
    <n v="13"/>
    <s v="December"/>
    <n v="2021"/>
    <n v="40"/>
    <s v="Adults (35-64)"/>
    <s v="F"/>
    <x v="0"/>
    <s v="California"/>
    <s v="Bikes"/>
    <s v="Mountain Bikes"/>
    <s v="Mountain-500 Silver, 40"/>
    <n v="1"/>
    <n v="308"/>
    <n v="565"/>
    <n v="257"/>
    <n v="308"/>
    <n v="565"/>
  </r>
  <r>
    <s v="000261737"/>
    <n v="44543"/>
    <n v="13"/>
    <s v="December"/>
    <n v="2021"/>
    <n v="44"/>
    <s v="Adults (35-64)"/>
    <s v="F"/>
    <x v="1"/>
    <s v="England"/>
    <s v="Bikes"/>
    <s v="Mountain Bikes"/>
    <s v="Mountain-200 Black, 38"/>
    <n v="1"/>
    <n v="1252"/>
    <n v="2295"/>
    <n v="1043"/>
    <n v="1252"/>
    <n v="2295"/>
  </r>
  <r>
    <s v="000261738"/>
    <n v="44543"/>
    <n v="13"/>
    <s v="December"/>
    <n v="2021"/>
    <n v="49"/>
    <s v="Adults (35-64)"/>
    <s v="M"/>
    <x v="1"/>
    <s v="England"/>
    <s v="Bikes"/>
    <s v="Mountain Bikes"/>
    <s v="Mountain-200 Black, 38"/>
    <n v="1"/>
    <n v="1252"/>
    <n v="2295"/>
    <n v="1043"/>
    <n v="1252"/>
    <n v="2295"/>
  </r>
  <r>
    <s v="000261739"/>
    <n v="44544"/>
    <n v="14"/>
    <s v="December"/>
    <n v="2021"/>
    <n v="30"/>
    <s v="Young Adults (25-34)"/>
    <s v="F"/>
    <x v="0"/>
    <s v="Washington"/>
    <s v="Bikes"/>
    <s v="Mountain Bikes"/>
    <s v="Mountain-200 Silver, 38"/>
    <n v="2"/>
    <n v="1266"/>
    <n v="2320"/>
    <n v="2108"/>
    <n v="2532"/>
    <n v="4640"/>
  </r>
  <r>
    <s v="000261740"/>
    <n v="44544"/>
    <n v="14"/>
    <s v="December"/>
    <n v="2021"/>
    <n v="32"/>
    <s v="Young Adults (25-34)"/>
    <s v="M"/>
    <x v="0"/>
    <s v="California"/>
    <s v="Bikes"/>
    <s v="Mountain Bikes"/>
    <s v="Mountain-200 Black, 46"/>
    <n v="1"/>
    <n v="1252"/>
    <n v="2295"/>
    <n v="1043"/>
    <n v="1252"/>
    <n v="2295"/>
  </r>
  <r>
    <s v="000261741"/>
    <n v="44544"/>
    <n v="14"/>
    <s v="December"/>
    <n v="2021"/>
    <n v="32"/>
    <s v="Young Adults (25-34)"/>
    <s v="F"/>
    <x v="2"/>
    <s v="Victoria"/>
    <s v="Bikes"/>
    <s v="Mountain Bikes"/>
    <s v="Mountain-400-W Silver, 46"/>
    <n v="1"/>
    <n v="420"/>
    <n v="769"/>
    <n v="349"/>
    <n v="420"/>
    <n v="769"/>
  </r>
  <r>
    <s v="000261742"/>
    <n v="44545"/>
    <n v="15"/>
    <s v="December"/>
    <n v="2021"/>
    <n v="29"/>
    <s v="Young Adults (25-34)"/>
    <s v="F"/>
    <x v="0"/>
    <s v="California"/>
    <s v="Bikes"/>
    <s v="Mountain Bikes"/>
    <s v="Mountain-200 Silver, 42"/>
    <n v="1"/>
    <n v="1266"/>
    <n v="2320"/>
    <n v="1054"/>
    <n v="1266"/>
    <n v="2320"/>
  </r>
  <r>
    <s v="000261743"/>
    <n v="44546"/>
    <n v="16"/>
    <s v="December"/>
    <n v="2021"/>
    <n v="33"/>
    <s v="Young Adults (25-34)"/>
    <s v="F"/>
    <x v="2"/>
    <s v="New South Wales"/>
    <s v="Bikes"/>
    <s v="Mountain Bikes"/>
    <s v="Mountain-200 Black, 38"/>
    <n v="2"/>
    <n v="1252"/>
    <n v="2295"/>
    <n v="2086"/>
    <n v="2504"/>
    <n v="4590"/>
  </r>
  <r>
    <s v="000261744"/>
    <n v="44546"/>
    <n v="16"/>
    <s v="December"/>
    <n v="2021"/>
    <n v="38"/>
    <s v="Adults (35-64)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45"/>
    <n v="44546"/>
    <n v="16"/>
    <s v="December"/>
    <n v="2021"/>
    <n v="27"/>
    <s v="Young Adults (25-34)"/>
    <s v="F"/>
    <x v="7"/>
    <s v="Seine et Marne"/>
    <s v="Bikes"/>
    <s v="Mountain Bikes"/>
    <s v="Mountain-200 Silver, 46"/>
    <n v="1"/>
    <n v="1266"/>
    <n v="2320"/>
    <n v="1054"/>
    <n v="1266"/>
    <n v="2320"/>
  </r>
  <r>
    <s v="000261746"/>
    <n v="44547"/>
    <n v="17"/>
    <s v="December"/>
    <n v="2021"/>
    <n v="37"/>
    <s v="Adults (35-64)"/>
    <s v="F"/>
    <x v="0"/>
    <s v="Washington"/>
    <s v="Bikes"/>
    <s v="Mountain Bikes"/>
    <s v="Mountain-200 Silver, 38"/>
    <n v="2"/>
    <n v="1266"/>
    <n v="2320"/>
    <n v="2108"/>
    <n v="2532"/>
    <n v="4640"/>
  </r>
  <r>
    <s v="000261747"/>
    <n v="44547"/>
    <n v="17"/>
    <s v="December"/>
    <n v="2021"/>
    <n v="31"/>
    <s v="Young Adults (25-34)"/>
    <s v="M"/>
    <x v="2"/>
    <s v="New South Wales"/>
    <s v="Bikes"/>
    <s v="Mountain Bikes"/>
    <s v="Mountain-400-W Silver, 42"/>
    <n v="1"/>
    <n v="420"/>
    <n v="769"/>
    <n v="349"/>
    <n v="420"/>
    <n v="769"/>
  </r>
  <r>
    <s v="000261748"/>
    <n v="44547"/>
    <n v="17"/>
    <s v="December"/>
    <n v="2021"/>
    <n v="42"/>
    <s v="Adults (35-64)"/>
    <s v="F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n v="44548"/>
    <n v="18"/>
    <s v="December"/>
    <n v="2021"/>
    <n v="35"/>
    <s v="Adults (35-64)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50"/>
    <n v="44548"/>
    <n v="18"/>
    <s v="December"/>
    <n v="2021"/>
    <n v="38"/>
    <s v="Adults (35-64)"/>
    <s v="F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n v="44548"/>
    <n v="18"/>
    <s v="December"/>
    <n v="2021"/>
    <n v="24"/>
    <s v="Youth (&lt;25)"/>
    <s v="F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n v="44548"/>
    <n v="18"/>
    <s v="December"/>
    <n v="2021"/>
    <n v="26"/>
    <s v="Young Adults (25-34)"/>
    <s v="F"/>
    <x v="1"/>
    <s v="England"/>
    <s v="Bikes"/>
    <s v="Mountain Bikes"/>
    <s v="Mountain-400-W Silver, 42"/>
    <n v="3"/>
    <n v="420"/>
    <n v="769"/>
    <n v="1047"/>
    <n v="1260"/>
    <n v="2307"/>
  </r>
  <r>
    <s v="000261753"/>
    <n v="44548"/>
    <n v="18"/>
    <s v="December"/>
    <n v="2021"/>
    <n v="39"/>
    <s v="Adults (35-64)"/>
    <s v="M"/>
    <x v="0"/>
    <s v="California"/>
    <s v="Bikes"/>
    <s v="Mountain Bikes"/>
    <s v="Mountain-200 Black, 42"/>
    <n v="3"/>
    <n v="1252"/>
    <n v="2295"/>
    <n v="3129"/>
    <n v="3756"/>
    <n v="6885"/>
  </r>
  <r>
    <s v="000261754"/>
    <n v="44548"/>
    <n v="18"/>
    <s v="December"/>
    <n v="2021"/>
    <n v="26"/>
    <s v="Young Adults (25-34)"/>
    <s v="M"/>
    <x v="7"/>
    <s v="Seine (Paris)"/>
    <s v="Bikes"/>
    <s v="Mountain Bikes"/>
    <s v="Mountain-200 Black, 46"/>
    <n v="1"/>
    <n v="1252"/>
    <n v="2295"/>
    <n v="1043"/>
    <n v="1252"/>
    <n v="2295"/>
  </r>
  <r>
    <s v="000261755"/>
    <n v="44548"/>
    <n v="18"/>
    <s v="December"/>
    <n v="2021"/>
    <n v="36"/>
    <s v="Adults (35-64)"/>
    <s v="M"/>
    <x v="0"/>
    <s v="Washington"/>
    <s v="Bikes"/>
    <s v="Mountain Bikes"/>
    <s v="Mountain-200 Silver, 38"/>
    <n v="1"/>
    <n v="1266"/>
    <n v="2320"/>
    <n v="1054"/>
    <n v="1266"/>
    <n v="2320"/>
  </r>
  <r>
    <s v="000261756"/>
    <n v="44549"/>
    <n v="19"/>
    <s v="December"/>
    <n v="2021"/>
    <n v="17"/>
    <s v="Youth (&lt;25)"/>
    <s v="M"/>
    <x v="7"/>
    <s v="Nord"/>
    <s v="Bikes"/>
    <s v="Mountain Bikes"/>
    <s v="Mountain-200 Silver, 46"/>
    <n v="4"/>
    <n v="1266"/>
    <n v="2320"/>
    <n v="4216"/>
    <n v="5064"/>
    <n v="9280"/>
  </r>
  <r>
    <s v="000261757"/>
    <n v="44549"/>
    <n v="19"/>
    <s v="December"/>
    <n v="2021"/>
    <n v="19"/>
    <s v="Youth (&lt;25)"/>
    <s v="F"/>
    <x v="2"/>
    <s v="Victoria"/>
    <s v="Bikes"/>
    <s v="Mountain Bikes"/>
    <s v="Mountain-500 Black, 44"/>
    <n v="4"/>
    <n v="295"/>
    <n v="540"/>
    <n v="980"/>
    <n v="1180"/>
    <n v="2160"/>
  </r>
  <r>
    <s v="000261758"/>
    <n v="44549"/>
    <n v="19"/>
    <s v="December"/>
    <n v="2021"/>
    <n v="25"/>
    <s v="Young Adults (25-34)"/>
    <s v="M"/>
    <x v="7"/>
    <s v="Seine (Paris)"/>
    <s v="Bikes"/>
    <s v="Mountain Bikes"/>
    <s v="Mountain-200 Black, 38"/>
    <n v="4"/>
    <n v="1252"/>
    <n v="2295"/>
    <n v="4172"/>
    <n v="5008"/>
    <n v="9180"/>
  </r>
  <r>
    <s v="000261759"/>
    <n v="44549"/>
    <n v="19"/>
    <s v="December"/>
    <n v="2021"/>
    <n v="35"/>
    <s v="Adults (35-64)"/>
    <s v="F"/>
    <x v="0"/>
    <s v="Oregon"/>
    <s v="Bikes"/>
    <s v="Mountain Bikes"/>
    <s v="Mountain-100 Black, 48"/>
    <n v="4"/>
    <n v="1898"/>
    <n v="3375"/>
    <n v="5908"/>
    <n v="7592"/>
    <n v="13500"/>
  </r>
  <r>
    <s v="000261760"/>
    <n v="44549"/>
    <n v="19"/>
    <s v="December"/>
    <n v="2021"/>
    <n v="37"/>
    <s v="Adults (35-64)"/>
    <s v="M"/>
    <x v="0"/>
    <s v="Oregon"/>
    <s v="Bikes"/>
    <s v="Mountain Bikes"/>
    <s v="Mountain-200 Black, 38"/>
    <n v="4"/>
    <n v="1252"/>
    <n v="2295"/>
    <n v="4172"/>
    <n v="5008"/>
    <n v="9180"/>
  </r>
  <r>
    <s v="000261761"/>
    <n v="44549"/>
    <n v="19"/>
    <s v="December"/>
    <n v="2021"/>
    <n v="39"/>
    <s v="Adults (35-64)"/>
    <s v="F"/>
    <x v="0"/>
    <s v="California"/>
    <s v="Bikes"/>
    <s v="Mountain Bikes"/>
    <s v="Mountain-200 Black, 46"/>
    <n v="4"/>
    <n v="1252"/>
    <n v="2295"/>
    <n v="4172"/>
    <n v="5008"/>
    <n v="9180"/>
  </r>
  <r>
    <s v="000261762"/>
    <n v="44549"/>
    <n v="19"/>
    <s v="December"/>
    <n v="2021"/>
    <n v="63"/>
    <s v="Adults (35-64)"/>
    <s v="F"/>
    <x v="2"/>
    <s v="Queensland"/>
    <s v="Bikes"/>
    <s v="Mountain Bikes"/>
    <s v="Mountain-200 Black, 46"/>
    <n v="4"/>
    <n v="1252"/>
    <n v="2295"/>
    <n v="4172"/>
    <n v="5008"/>
    <n v="9180"/>
  </r>
  <r>
    <s v="000261763"/>
    <n v="44549"/>
    <n v="19"/>
    <s v="December"/>
    <n v="2021"/>
    <n v="18"/>
    <s v="Youth (&lt;25)"/>
    <s v="M"/>
    <x v="2"/>
    <s v="South Australia"/>
    <s v="Bikes"/>
    <s v="Mountain Bikes"/>
    <s v="Mountain-500 Black, 40"/>
    <n v="2"/>
    <n v="295"/>
    <n v="540"/>
    <n v="490"/>
    <n v="590"/>
    <n v="1080"/>
  </r>
  <r>
    <s v="000261764"/>
    <n v="44549"/>
    <n v="19"/>
    <s v="December"/>
    <n v="2021"/>
    <n v="56"/>
    <s v="Adults (35-64)"/>
    <s v="F"/>
    <x v="5"/>
    <s v="Hessen"/>
    <s v="Bikes"/>
    <s v="Mountain Bikes"/>
    <s v="Mountain-200 Black, 46"/>
    <n v="2"/>
    <n v="1252"/>
    <n v="2295"/>
    <n v="2086"/>
    <n v="2504"/>
    <n v="4590"/>
  </r>
  <r>
    <s v="000261765"/>
    <n v="44549"/>
    <n v="19"/>
    <s v="December"/>
    <n v="2021"/>
    <n v="39"/>
    <s v="Adults (35-64)"/>
    <s v="F"/>
    <x v="0"/>
    <s v="Washington"/>
    <s v="Bikes"/>
    <s v="Mountain Bikes"/>
    <s v="Mountain-200 Silver, 38"/>
    <n v="1"/>
    <n v="1266"/>
    <n v="2320"/>
    <n v="1054"/>
    <n v="1266"/>
    <n v="2320"/>
  </r>
  <r>
    <s v="000261766"/>
    <n v="44550"/>
    <n v="20"/>
    <s v="December"/>
    <n v="2021"/>
    <n v="33"/>
    <s v="Young Adults (25-34)"/>
    <s v="F"/>
    <x v="2"/>
    <s v="Victoria"/>
    <s v="Bikes"/>
    <s v="Mountain Bikes"/>
    <s v="Mountain-100 Black, 38"/>
    <n v="4"/>
    <n v="1898"/>
    <n v="3375"/>
    <n v="5908"/>
    <n v="7592"/>
    <n v="13500"/>
  </r>
  <r>
    <s v="000261767"/>
    <n v="44550"/>
    <n v="20"/>
    <s v="December"/>
    <n v="2021"/>
    <n v="57"/>
    <s v="Adults (35-64)"/>
    <s v="M"/>
    <x v="2"/>
    <s v="Queensland"/>
    <s v="Bikes"/>
    <s v="Mountain Bikes"/>
    <s v="Mountain-200 Black, 46"/>
    <n v="4"/>
    <n v="1252"/>
    <n v="2295"/>
    <n v="4172"/>
    <n v="5008"/>
    <n v="9180"/>
  </r>
  <r>
    <s v="000261768"/>
    <n v="44550"/>
    <n v="20"/>
    <s v="December"/>
    <n v="2021"/>
    <n v="29"/>
    <s v="Young Adults (25-34)"/>
    <s v="M"/>
    <x v="6"/>
    <s v="British Columbia"/>
    <s v="Bikes"/>
    <s v="Mountain Bikes"/>
    <s v="Mountain-500 Black, 52"/>
    <n v="3"/>
    <n v="295"/>
    <n v="540"/>
    <n v="735"/>
    <n v="885"/>
    <n v="1620"/>
  </r>
  <r>
    <s v="000261769"/>
    <n v="44550"/>
    <n v="20"/>
    <s v="December"/>
    <n v="2021"/>
    <n v="35"/>
    <s v="Adults (35-64)"/>
    <s v="F"/>
    <x v="2"/>
    <s v="Queensland"/>
    <s v="Bikes"/>
    <s v="Mountain Bikes"/>
    <s v="Mountain-200 Silver, 38"/>
    <n v="1"/>
    <n v="1266"/>
    <n v="2320"/>
    <n v="1054"/>
    <n v="1266"/>
    <n v="2320"/>
  </r>
  <r>
    <s v="000261770"/>
    <n v="44550"/>
    <n v="20"/>
    <s v="December"/>
    <n v="2021"/>
    <n v="35"/>
    <s v="Adults (35-64)"/>
    <s v="M"/>
    <x v="2"/>
    <s v="Victoria"/>
    <s v="Bikes"/>
    <s v="Mountain Bikes"/>
    <s v="Mountain-200 Silver, 38"/>
    <n v="1"/>
    <n v="1266"/>
    <n v="2320"/>
    <n v="1054"/>
    <n v="1266"/>
    <n v="2320"/>
  </r>
  <r>
    <s v="000261771"/>
    <n v="44551"/>
    <n v="21"/>
    <s v="December"/>
    <n v="2021"/>
    <n v="26"/>
    <s v="Young Adults (25-34)"/>
    <s v="M"/>
    <x v="7"/>
    <s v="Somme"/>
    <s v="Bikes"/>
    <s v="Mountain Bikes"/>
    <s v="Mountain-200 Silver, 38"/>
    <n v="3"/>
    <n v="1266"/>
    <n v="2320"/>
    <n v="3162"/>
    <n v="3798"/>
    <n v="6960"/>
  </r>
  <r>
    <s v="000261772"/>
    <n v="44551"/>
    <n v="21"/>
    <s v="December"/>
    <n v="2021"/>
    <n v="23"/>
    <s v="Youth (&lt;25)"/>
    <s v="M"/>
    <x v="1"/>
    <s v="England"/>
    <s v="Bikes"/>
    <s v="Mountain Bikes"/>
    <s v="Mountain-400-W Silver, 46"/>
    <n v="2"/>
    <n v="420"/>
    <n v="769"/>
    <n v="698"/>
    <n v="840"/>
    <n v="1538"/>
  </r>
  <r>
    <s v="000261773"/>
    <n v="44552"/>
    <n v="22"/>
    <s v="December"/>
    <n v="2021"/>
    <n v="30"/>
    <s v="Young Adults (25-34)"/>
    <s v="F"/>
    <x v="0"/>
    <s v="Washington"/>
    <s v="Bikes"/>
    <s v="Mountain Bikes"/>
    <s v="Mountain-200 Silver, 38"/>
    <n v="3"/>
    <n v="1266"/>
    <n v="2320"/>
    <n v="3162"/>
    <n v="3798"/>
    <n v="6960"/>
  </r>
  <r>
    <s v="000261774"/>
    <n v="44552"/>
    <n v="22"/>
    <s v="December"/>
    <n v="2021"/>
    <n v="41"/>
    <s v="Adults (35-64)"/>
    <s v="M"/>
    <x v="0"/>
    <s v="California"/>
    <s v="Bikes"/>
    <s v="Mountain Bikes"/>
    <s v="Mountain-200 Black, 42"/>
    <n v="3"/>
    <n v="1252"/>
    <n v="2295"/>
    <n v="3129"/>
    <n v="3756"/>
    <n v="6885"/>
  </r>
  <r>
    <s v="000261775"/>
    <n v="44552"/>
    <n v="22"/>
    <s v="December"/>
    <n v="2021"/>
    <n v="19"/>
    <s v="Youth (&lt;25)"/>
    <s v="F"/>
    <x v="2"/>
    <s v="New South Wales"/>
    <s v="Bikes"/>
    <s v="Mountain Bikes"/>
    <s v="Mountain-500 Silver, 42"/>
    <n v="1"/>
    <n v="308"/>
    <n v="565"/>
    <n v="257"/>
    <n v="308"/>
    <n v="565"/>
  </r>
  <r>
    <s v="000261776"/>
    <n v="44552"/>
    <n v="22"/>
    <s v="December"/>
    <n v="2021"/>
    <n v="25"/>
    <s v="Young Adults (25-34)"/>
    <s v="M"/>
    <x v="7"/>
    <s v="Seine (Paris)"/>
    <s v="Bikes"/>
    <s v="Mountain Bikes"/>
    <s v="Mountain-200 Black, 38"/>
    <n v="1"/>
    <n v="1252"/>
    <n v="2295"/>
    <n v="1043"/>
    <n v="1252"/>
    <n v="2295"/>
  </r>
  <r>
    <s v="000261777"/>
    <n v="44552"/>
    <n v="22"/>
    <s v="December"/>
    <n v="2021"/>
    <n v="27"/>
    <s v="Young Adults (25-34)"/>
    <s v="F"/>
    <x v="6"/>
    <s v="British Columbia"/>
    <s v="Bikes"/>
    <s v="Mountain Bikes"/>
    <s v="Mountain-200 Black, 46"/>
    <n v="1"/>
    <n v="1252"/>
    <n v="2295"/>
    <n v="1043"/>
    <n v="1252"/>
    <n v="2295"/>
  </r>
  <r>
    <s v="000261778"/>
    <n v="44552"/>
    <n v="22"/>
    <s v="December"/>
    <n v="2021"/>
    <n v="41"/>
    <s v="Adults (35-64)"/>
    <s v="M"/>
    <x v="5"/>
    <s v="Hessen"/>
    <s v="Bikes"/>
    <s v="Mountain Bikes"/>
    <s v="Mountain-200 Silver, 38"/>
    <n v="1"/>
    <n v="1266"/>
    <n v="2320"/>
    <n v="1054"/>
    <n v="1266"/>
    <n v="2320"/>
  </r>
  <r>
    <s v="000261779"/>
    <n v="44553"/>
    <n v="23"/>
    <s v="December"/>
    <n v="2021"/>
    <n v="30"/>
    <s v="Young Adults (25-34)"/>
    <s v="F"/>
    <x v="0"/>
    <s v="Oregon"/>
    <s v="Bikes"/>
    <s v="Mountain Bikes"/>
    <s v="Mountain-200 Silver, 42"/>
    <n v="1"/>
    <n v="1266"/>
    <n v="2320"/>
    <n v="1054"/>
    <n v="1266"/>
    <n v="2320"/>
  </r>
  <r>
    <s v="000261780"/>
    <n v="44553"/>
    <n v="23"/>
    <s v="December"/>
    <n v="2021"/>
    <n v="31"/>
    <s v="Young Adults (25-34)"/>
    <s v="F"/>
    <x v="6"/>
    <s v="British Columbia"/>
    <s v="Bikes"/>
    <s v="Mountain Bikes"/>
    <s v="Mountain-200 Black, 42"/>
    <n v="1"/>
    <n v="1252"/>
    <n v="2295"/>
    <n v="1043"/>
    <n v="1252"/>
    <n v="2295"/>
  </r>
  <r>
    <s v="000261781"/>
    <n v="44553"/>
    <n v="23"/>
    <s v="December"/>
    <n v="2021"/>
    <n v="35"/>
    <s v="Adults (35-64)"/>
    <s v="F"/>
    <x v="0"/>
    <s v="California"/>
    <s v="Bikes"/>
    <s v="Mountain Bikes"/>
    <s v="Mountain-500 Black, 42"/>
    <n v="1"/>
    <n v="295"/>
    <n v="540"/>
    <n v="245"/>
    <n v="295"/>
    <n v="540"/>
  </r>
  <r>
    <s v="000261782"/>
    <n v="44554"/>
    <n v="24"/>
    <s v="December"/>
    <n v="2021"/>
    <n v="38"/>
    <s v="Adults (35-64)"/>
    <s v="M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9DAFD-9581-40E4-9B98-7670F3FF78E7}" name="PivotTable6" cacheId="73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4">
  <location ref="A89:I100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/>
  </dataFields>
  <formats count="1">
    <format dxfId="26">
      <pivotArea outline="0" collapsedLevelsAreSubtotals="1" fieldPosition="0"/>
    </format>
  </format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90AEE-B016-422D-A71E-8E6AD63EF3B6}" name="PivotTable5" cacheId="7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4:E54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6"/>
  </rowFields>
  <rowItems count="19">
    <i>
      <x/>
      <x/>
    </i>
    <i r="1"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t="default">
      <x v="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Total Profit " fld="16" baseField="0" baseItem="0" numFmtId="164"/>
  </dataFields>
  <formats count="2">
    <format dxfId="24">
      <pivotArea outline="0" collapsedLevelsAreSubtotals="1" fieldPosition="0"/>
    </format>
    <format dxfId="25">
      <pivotArea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format>
  </formats>
  <conditionalFormats count="2">
    <conditionalFormat priority="3">
      <pivotAreas count="6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0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1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2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3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4"/>
            </reference>
          </references>
        </pivotArea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8" count="1" selected="0" defaultSubtotal="1">
              <x v="5"/>
            </reference>
          </references>
        </pivotArea>
      </pivotAreas>
    </conditionalFormat>
    <conditionalFormat priority="4">
      <pivotAreas count="6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2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3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4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1" selected="0" defaultSubtotal="1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7B497-508C-4E7B-91E9-A09FC577A9D0}" name="PivotTable4" cacheId="7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:H16" firstHeaderRow="1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tal Profit " fld="16" baseField="0" baseItem="0" numFmtId="164"/>
  </dataFields>
  <formats count="2">
    <format dxfId="22">
      <pivotArea outline="0" fieldPosition="0">
        <references count="2">
          <reference field="7" count="0" selected="0"/>
          <reference field="8" count="0" selected="0"/>
        </references>
      </pivotArea>
    </format>
    <format dxfId="23">
      <pivotArea outline="0" collapsedLevelsAreSubtotals="1" fieldPosition="0"/>
    </format>
  </formats>
  <conditionalFormats count="1"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7" count="2" selected="0">
              <x v="0"/>
              <x v="1"/>
            </reference>
            <reference field="8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BC2FE-4D86-4C47-B766-A98948480141}" name="PivotTable3" cacheId="7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 Profit " fld="16" baseField="0" baseItem="0"/>
  </dataFields>
  <formats count="2">
    <format dxfId="20">
      <pivotArea outline="0" fieldPosition="0">
        <references count="1">
          <reference field="8" count="0" selected="0"/>
        </references>
      </pivotArea>
    </format>
    <format dxfId="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4A9BD-D548-4D68-B626-4E00554FD711}" name="PivotTable2" cacheId="7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8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7">
    <i>
      <x v="5"/>
    </i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Total Profit " fld="16" baseField="0" baseItem="0"/>
  </dataFields>
  <formats count="2">
    <format dxfId="18">
      <pivotArea outline="0" fieldPosition="0">
        <references count="1">
          <reference field="8" count="0" selected="0"/>
        </references>
      </pivotArea>
    </format>
    <format dxfId="19">
      <pivotArea grandRow="1" outline="0" collapsedLevelsAreSubtotals="1" fieldPosition="0"/>
    </format>
  </formats>
  <conditionalFormats count="1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2265D-48BE-4D89-A284-8AA8F57AB9FD}" name="PivotTable1" cacheId="73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57:I68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17">
      <pivotArea outline="0" collapsedLevelsAreSubtotals="1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BE981-E3EF-414C-AAB7-57511FEFF4B5}" name="PivotTable6" cacheId="7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I9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1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Sales Volume" fld="2" baseField="0" baseItem="0" numFmtId="1"/>
  </dataFields>
  <formats count="11"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1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1" count="0"/>
        </references>
      </pivotArea>
    </format>
    <format dxfId="15">
      <pivotArea dataOnly="0" labelOnly="1" grandCol="1" outline="0" fieldPosition="0"/>
    </format>
    <format dxfId="16">
      <pivotArea outline="0" collapsedLevelsAreSubtotals="1" fieldPosition="0"/>
    </format>
  </formats>
  <conditionalFormats count="2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2">
            <reference field="4294967294" count="1" selected="0">
              <x v="0"/>
            </reference>
            <reference field="0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5709F-8A6D-435C-9487-E423853566FB}" name="BikeSalesCleaned" displayName="BikeSalesCleaned" ref="A93:S181" totalsRowShown="0">
  <autoFilter ref="A93:S181" xr:uid="{9875709F-8A6D-435C-9487-E423853566FB}"/>
  <tableColumns count="19">
    <tableColumn id="1" xr3:uid="{7EF5128E-4687-4DF5-9C25-C061877AC59D}" name="Sales_Order #"/>
    <tableColumn id="2" xr3:uid="{977E70DA-6003-465E-9160-F83D47D2189E}" name="Date"/>
    <tableColumn id="3" xr3:uid="{3AC004C7-51B8-4ABE-8ACD-D152E01ADA93}" name="Day"/>
    <tableColumn id="4" xr3:uid="{C5F58FB6-2ECD-490E-92A0-EE22FFC31FAD}" name="Month"/>
    <tableColumn id="5" xr3:uid="{48D12414-22F5-4A15-9E08-948CE686F179}" name="Year"/>
    <tableColumn id="6" xr3:uid="{0B3B3800-0962-4B46-9C74-E7D8883D26C6}" name="Customer_Age"/>
    <tableColumn id="7" xr3:uid="{14C42954-F751-47DD-9DBA-912A9A30CEA8}" name="Age_Group"/>
    <tableColumn id="8" xr3:uid="{3A276D09-7448-49B7-B9DF-64ACEAA4EC5E}" name="Customer_Gender"/>
    <tableColumn id="9" xr3:uid="{D43D202C-BBE9-483D-A222-74EE4DF543F3}" name="Country">
      <calculatedColumnFormula>TRIM(I2)</calculatedColumnFormula>
    </tableColumn>
    <tableColumn id="10" xr3:uid="{C4CD85F2-FD85-41F9-BD9E-CF037E9A1B5E}" name="State"/>
    <tableColumn id="11" xr3:uid="{FD7AE017-46F7-4744-81EC-4253981F3270}" name="Product_Category"/>
    <tableColumn id="12" xr3:uid="{CE57371F-ACA6-4404-BE7A-AD898DDE5131}" name="Sub_Category"/>
    <tableColumn id="13" xr3:uid="{87043369-E459-47A5-B389-CAA0FA4F3EC2}" name="Product_Description"/>
    <tableColumn id="14" xr3:uid="{5D3C447C-6B05-4D72-9AC2-AD7920280C85}" name="Order_Quantity"/>
    <tableColumn id="15" xr3:uid="{4898ECE9-BF6E-44FC-AE1E-0012319FDE63}" name=" Unit_Cost "/>
    <tableColumn id="16" xr3:uid="{1C756442-8815-4927-BB51-596EED934BAC}" name=" Unit_Price "/>
    <tableColumn id="17" xr3:uid="{FBD11E16-4500-4766-8E53-9CC1B953BF0D}" name=" Profit "/>
    <tableColumn id="18" xr3:uid="{955A17DF-66DF-4EC2-B9E4-4E93FEDCD97A}" name=" Cost ">
      <calculatedColumnFormula>N94*O94</calculatedColumnFormula>
    </tableColumn>
    <tableColumn id="19" xr3:uid="{0FE35CC1-0F22-4F64-9418-5EE40F6CA9D4}" name="Revenue">
      <calculatedColumnFormula>N94*P94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7A810-C25E-46FB-B4C7-6E3B39FB3A5D}" name="BikeSales" displayName="BikeSales" ref="A1:S89" totalsRowShown="0">
  <autoFilter ref="A1:S89" xr:uid="{98C7A810-C25E-46FB-B4C7-6E3B39FB3A5D}"/>
  <tableColumns count="19">
    <tableColumn id="1" xr3:uid="{31541F5F-BEEE-4CC3-BF67-79EF94B15718}" name="Sales_Order #"/>
    <tableColumn id="2" xr3:uid="{F861688D-720C-4380-BBB4-DEDD00324BF1}" name="Date"/>
    <tableColumn id="3" xr3:uid="{BFB18F98-5392-4693-B3C8-682CA87F9CEE}" name="Day"/>
    <tableColumn id="4" xr3:uid="{5BBB1889-7189-4DCF-B3E5-D01B0A99DC0E}" name="Month"/>
    <tableColumn id="5" xr3:uid="{8672D03B-3031-48F6-BAD4-29DF9D38FF7D}" name="Year"/>
    <tableColumn id="6" xr3:uid="{EA9AA435-77CA-468C-B2DB-DDF496B9CB28}" name="Customer_Age"/>
    <tableColumn id="7" xr3:uid="{ADCAFA8A-B07B-43F1-ACD2-5FAA117C5858}" name="Age_Group"/>
    <tableColumn id="8" xr3:uid="{B78A7EA3-B127-431B-8924-5C8D3B2C50C6}" name="Customer_Gender"/>
    <tableColumn id="9" xr3:uid="{720F59AE-9E29-48EA-BFAE-514DBC01524C}" name="Country"/>
    <tableColumn id="10" xr3:uid="{C7246776-FCA8-4CC6-9991-DFCD7EB63D9B}" name="State"/>
    <tableColumn id="11" xr3:uid="{4AFA5B50-36BC-496E-8784-7DC52495B7DC}" name="Product_Category"/>
    <tableColumn id="12" xr3:uid="{B984DC55-80AC-47B6-9375-E73D92EE76F3}" name="Sub_Category"/>
    <tableColumn id="13" xr3:uid="{919AE335-E0F8-43F8-B921-435267BC0632}" name="Product_Description"/>
    <tableColumn id="14" xr3:uid="{C8860A3A-7F21-4F6A-BF70-0FBA5B1B05FA}" name="Order_Quantity"/>
    <tableColumn id="15" xr3:uid="{325299D8-8FE2-419B-BAA4-3FDF04ABBD0B}" name=" Unit_Cost "/>
    <tableColumn id="16" xr3:uid="{696428A3-D857-4CBC-93E9-4F08B01AF8F4}" name=" Unit_Price "/>
    <tableColumn id="17" xr3:uid="{119B42D0-8423-4E30-8E89-6072F767E99B}" name=" Profit "/>
    <tableColumn id="18" xr3:uid="{A1676F00-920C-42EC-9AC4-2FD4C43BF8C6}" name=" Cost ">
      <calculatedColumnFormula>N2*O2</calculatedColumnFormula>
    </tableColumn>
    <tableColumn id="19" xr3:uid="{A97A1F1E-9D0E-4954-9E3D-387AE367E65A}" name="Revenue">
      <calculatedColumnFormula>N2*P2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895030-96C0-4BB0-B90A-4690E61F6DD9}" name="SalesEngland" displayName="SalesEngland" ref="A1:D13" totalsRowShown="0" headerRowBorderDxfId="4" tableBorderDxfId="5">
  <autoFilter ref="A1:D13" xr:uid="{6F895030-96C0-4BB0-B90A-4690E61F6DD9}"/>
  <tableColumns count="4">
    <tableColumn id="1" xr3:uid="{0DD46CF2-9D59-4661-9BDD-DF6A228FA898}" name="County" dataDxfId="3"/>
    <tableColumn id="2" xr3:uid="{AB17159C-1D6B-4F09-9228-CD0377D7B64C}" name="Product" dataDxfId="2"/>
    <tableColumn id="3" xr3:uid="{EF02D0CD-86CE-4AA3-BD48-DA306AB79BB9}" name="Sales Volume" dataDxfId="1"/>
    <tableColumn id="4" xr3:uid="{B732518D-7B55-4DE6-9FBE-978B8CF052A3}" name="Product Category by Volume" dataDxfId="0">
      <calculatedColumnFormula array="1">_xlfn.SWITCH(TRUE, C2 &gt; 600, "High", C2 &gt;= 300, "Medium",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4219-C05F-41A0-950C-168E2897BEB6}">
  <dimension ref="A1:I100"/>
  <sheetViews>
    <sheetView tabSelected="1" topLeftCell="A71" workbookViewId="0">
      <selection activeCell="C91" sqref="C91:I100"/>
    </sheetView>
  </sheetViews>
  <sheetFormatPr defaultRowHeight="15"/>
  <cols>
    <col min="1" max="1" width="19.710937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10" width="11.7109375" bestFit="1" customWidth="1"/>
  </cols>
  <sheetData>
    <row r="1" spans="1:8">
      <c r="A1" s="4" t="s">
        <v>0</v>
      </c>
      <c r="B1" t="s">
        <v>1</v>
      </c>
      <c r="D1" s="4" t="s">
        <v>0</v>
      </c>
      <c r="E1" t="s">
        <v>2</v>
      </c>
    </row>
    <row r="2" spans="1:8">
      <c r="A2" t="s">
        <v>3</v>
      </c>
      <c r="B2" s="8">
        <v>60370</v>
      </c>
      <c r="D2" t="s">
        <v>4</v>
      </c>
      <c r="E2" s="8">
        <v>50326</v>
      </c>
    </row>
    <row r="3" spans="1:8">
      <c r="A3" t="s">
        <v>4</v>
      </c>
      <c r="B3" s="8">
        <v>50326</v>
      </c>
      <c r="D3" t="s">
        <v>5</v>
      </c>
      <c r="E3" s="8">
        <v>9123</v>
      </c>
    </row>
    <row r="4" spans="1:8">
      <c r="A4" t="s">
        <v>6</v>
      </c>
      <c r="B4" s="8">
        <v>20981</v>
      </c>
      <c r="D4" t="s">
        <v>6</v>
      </c>
      <c r="E4" s="8">
        <v>20981</v>
      </c>
    </row>
    <row r="5" spans="1:8">
      <c r="A5" t="s">
        <v>7</v>
      </c>
      <c r="B5" s="8">
        <v>13636</v>
      </c>
      <c r="D5" t="s">
        <v>7</v>
      </c>
      <c r="E5" s="8">
        <v>13636</v>
      </c>
    </row>
    <row r="6" spans="1:8">
      <c r="A6" t="s">
        <v>5</v>
      </c>
      <c r="B6" s="8">
        <v>9123</v>
      </c>
      <c r="D6" t="s">
        <v>8</v>
      </c>
      <c r="E6" s="8">
        <v>2086</v>
      </c>
    </row>
    <row r="7" spans="1:8">
      <c r="A7" t="s">
        <v>9</v>
      </c>
      <c r="B7" s="8">
        <v>9072</v>
      </c>
      <c r="D7" t="s">
        <v>9</v>
      </c>
      <c r="E7" s="8">
        <v>9072</v>
      </c>
    </row>
    <row r="8" spans="1:8">
      <c r="A8" t="s">
        <v>10</v>
      </c>
      <c r="B8" s="8">
        <v>163508</v>
      </c>
      <c r="D8" t="s">
        <v>3</v>
      </c>
      <c r="E8" s="8">
        <v>57241</v>
      </c>
    </row>
    <row r="9" spans="1:8">
      <c r="D9" t="s">
        <v>11</v>
      </c>
      <c r="E9" s="8">
        <v>1043</v>
      </c>
    </row>
    <row r="10" spans="1:8">
      <c r="D10" t="s">
        <v>10</v>
      </c>
      <c r="E10" s="8">
        <v>163508</v>
      </c>
    </row>
    <row r="12" spans="1:8">
      <c r="A12" s="4" t="s">
        <v>1</v>
      </c>
      <c r="B12" s="4" t="s">
        <v>0</v>
      </c>
    </row>
    <row r="13" spans="1:8">
      <c r="A13" s="4" t="s">
        <v>12</v>
      </c>
      <c r="B13" t="s">
        <v>4</v>
      </c>
      <c r="C13" t="s">
        <v>5</v>
      </c>
      <c r="D13" t="s">
        <v>6</v>
      </c>
      <c r="E13" t="s">
        <v>7</v>
      </c>
      <c r="F13" t="s">
        <v>9</v>
      </c>
      <c r="G13" t="s">
        <v>3</v>
      </c>
      <c r="H13" t="s">
        <v>10</v>
      </c>
    </row>
    <row r="14" spans="1:8">
      <c r="A14" t="s">
        <v>13</v>
      </c>
      <c r="B14" s="8">
        <v>31745</v>
      </c>
      <c r="C14" s="8">
        <v>6302</v>
      </c>
      <c r="D14" s="8">
        <v>7345</v>
      </c>
      <c r="E14" s="8">
        <v>8410</v>
      </c>
      <c r="F14" s="8">
        <v>3133</v>
      </c>
      <c r="G14" s="8">
        <v>40608</v>
      </c>
      <c r="H14" s="8">
        <v>97543</v>
      </c>
    </row>
    <row r="15" spans="1:8">
      <c r="A15" t="s">
        <v>14</v>
      </c>
      <c r="B15" s="8">
        <v>18581</v>
      </c>
      <c r="C15" s="8">
        <v>2821</v>
      </c>
      <c r="D15" s="8">
        <v>13636</v>
      </c>
      <c r="E15" s="8">
        <v>5226</v>
      </c>
      <c r="F15" s="8">
        <v>5939</v>
      </c>
      <c r="G15" s="8">
        <v>19762</v>
      </c>
      <c r="H15" s="8">
        <v>65965</v>
      </c>
    </row>
    <row r="16" spans="1:8">
      <c r="A16" t="s">
        <v>10</v>
      </c>
      <c r="B16" s="8">
        <v>50326</v>
      </c>
      <c r="C16" s="8">
        <v>9123</v>
      </c>
      <c r="D16" s="8">
        <v>20981</v>
      </c>
      <c r="E16" s="8">
        <v>13636</v>
      </c>
      <c r="F16" s="8">
        <v>9072</v>
      </c>
      <c r="G16" s="8">
        <v>60370</v>
      </c>
      <c r="H16" s="8">
        <v>163508</v>
      </c>
    </row>
    <row r="34" spans="1:5">
      <c r="A34" s="4" t="s">
        <v>1</v>
      </c>
      <c r="C34" s="4" t="s">
        <v>12</v>
      </c>
    </row>
    <row r="35" spans="1:5">
      <c r="A35" s="4" t="s">
        <v>0</v>
      </c>
      <c r="B35" s="4" t="s">
        <v>15</v>
      </c>
      <c r="C35" t="s">
        <v>13</v>
      </c>
      <c r="D35" t="s">
        <v>14</v>
      </c>
      <c r="E35" t="s">
        <v>10</v>
      </c>
    </row>
    <row r="36" spans="1:5">
      <c r="A36" t="s">
        <v>4</v>
      </c>
      <c r="B36" t="s">
        <v>16</v>
      </c>
      <c r="C36" s="8">
        <v>13276</v>
      </c>
      <c r="D36" s="8">
        <v>15656</v>
      </c>
      <c r="E36" s="8">
        <v>28932</v>
      </c>
    </row>
    <row r="37" spans="1:5">
      <c r="B37" t="s">
        <v>17</v>
      </c>
      <c r="C37" s="8">
        <v>16204</v>
      </c>
      <c r="D37" s="8">
        <v>2435</v>
      </c>
      <c r="E37" s="8">
        <v>18639</v>
      </c>
    </row>
    <row r="38" spans="1:5">
      <c r="B38" t="s">
        <v>18</v>
      </c>
      <c r="C38" s="8">
        <v>2265</v>
      </c>
      <c r="D38" s="8">
        <v>490</v>
      </c>
      <c r="E38" s="8">
        <v>2755</v>
      </c>
    </row>
    <row r="39" spans="1:5">
      <c r="A39" t="s">
        <v>19</v>
      </c>
      <c r="C39" s="8">
        <v>31745</v>
      </c>
      <c r="D39" s="8">
        <v>18581</v>
      </c>
      <c r="E39" s="8">
        <v>50326</v>
      </c>
    </row>
    <row r="40" spans="1:5">
      <c r="A40" t="s">
        <v>5</v>
      </c>
      <c r="B40" t="s">
        <v>17</v>
      </c>
      <c r="C40" s="8">
        <v>6302</v>
      </c>
      <c r="D40" s="8">
        <v>2821</v>
      </c>
      <c r="E40" s="8">
        <v>9123</v>
      </c>
    </row>
    <row r="41" spans="1:5">
      <c r="A41" t="s">
        <v>20</v>
      </c>
      <c r="C41" s="8">
        <v>6302</v>
      </c>
      <c r="D41" s="8">
        <v>2821</v>
      </c>
      <c r="E41" s="8">
        <v>9123</v>
      </c>
    </row>
    <row r="42" spans="1:5">
      <c r="A42" t="s">
        <v>6</v>
      </c>
      <c r="B42" t="s">
        <v>17</v>
      </c>
      <c r="C42" s="8">
        <v>1054</v>
      </c>
      <c r="D42" s="8">
        <v>9420</v>
      </c>
      <c r="E42" s="8">
        <v>10474</v>
      </c>
    </row>
    <row r="43" spans="1:5">
      <c r="B43" t="s">
        <v>18</v>
      </c>
      <c r="C43" s="8">
        <v>6291</v>
      </c>
      <c r="D43" s="8">
        <v>4216</v>
      </c>
      <c r="E43" s="8">
        <v>10507</v>
      </c>
    </row>
    <row r="44" spans="1:5">
      <c r="A44" t="s">
        <v>21</v>
      </c>
      <c r="C44" s="8">
        <v>7345</v>
      </c>
      <c r="D44" s="8">
        <v>13636</v>
      </c>
      <c r="E44" s="8">
        <v>20981</v>
      </c>
    </row>
    <row r="45" spans="1:5">
      <c r="A45" t="s">
        <v>7</v>
      </c>
      <c r="B45" t="s">
        <v>16</v>
      </c>
      <c r="C45" s="8">
        <v>8410</v>
      </c>
      <c r="D45" s="8">
        <v>5226</v>
      </c>
      <c r="E45" s="8">
        <v>13636</v>
      </c>
    </row>
    <row r="46" spans="1:5">
      <c r="A46" t="s">
        <v>22</v>
      </c>
      <c r="C46" s="8">
        <v>8410</v>
      </c>
      <c r="D46" s="8">
        <v>5226</v>
      </c>
      <c r="E46" s="8">
        <v>13636</v>
      </c>
    </row>
    <row r="47" spans="1:5">
      <c r="A47" t="s">
        <v>9</v>
      </c>
      <c r="B47" t="s">
        <v>16</v>
      </c>
      <c r="C47" s="8">
        <v>1043</v>
      </c>
      <c r="D47" s="8">
        <v>3151</v>
      </c>
      <c r="E47" s="8">
        <v>4194</v>
      </c>
    </row>
    <row r="48" spans="1:5">
      <c r="B48" t="s">
        <v>17</v>
      </c>
      <c r="C48" s="8">
        <v>1047</v>
      </c>
      <c r="D48" s="8">
        <v>1043</v>
      </c>
      <c r="E48" s="8">
        <v>2090</v>
      </c>
    </row>
    <row r="49" spans="1:9">
      <c r="B49" t="s">
        <v>18</v>
      </c>
      <c r="C49" s="8">
        <v>1043</v>
      </c>
      <c r="D49" s="8">
        <v>1745</v>
      </c>
      <c r="E49" s="8">
        <v>2788</v>
      </c>
    </row>
    <row r="50" spans="1:9">
      <c r="A50" t="s">
        <v>23</v>
      </c>
      <c r="C50" s="8">
        <v>3133</v>
      </c>
      <c r="D50" s="8">
        <v>5939</v>
      </c>
      <c r="E50" s="8">
        <v>9072</v>
      </c>
    </row>
    <row r="51" spans="1:9">
      <c r="A51" t="s">
        <v>3</v>
      </c>
      <c r="B51" t="s">
        <v>16</v>
      </c>
      <c r="C51" s="9">
        <v>29656</v>
      </c>
      <c r="D51" s="8">
        <v>17078</v>
      </c>
      <c r="E51" s="8">
        <v>46734</v>
      </c>
    </row>
    <row r="52" spans="1:9">
      <c r="B52" t="s">
        <v>17</v>
      </c>
      <c r="C52" s="8">
        <v>10952</v>
      </c>
      <c r="D52" s="8">
        <v>2684</v>
      </c>
      <c r="E52" s="8">
        <v>13636</v>
      </c>
    </row>
    <row r="53" spans="1:9">
      <c r="A53" t="s">
        <v>24</v>
      </c>
      <c r="C53" s="8">
        <v>40608</v>
      </c>
      <c r="D53" s="8">
        <v>19762</v>
      </c>
      <c r="E53" s="8">
        <v>60370</v>
      </c>
    </row>
    <row r="54" spans="1:9">
      <c r="A54" t="s">
        <v>10</v>
      </c>
      <c r="C54" s="8">
        <v>97543</v>
      </c>
      <c r="D54" s="8">
        <v>65965</v>
      </c>
      <c r="E54" s="8">
        <v>163508</v>
      </c>
    </row>
    <row r="57" spans="1:9">
      <c r="A57" s="4" t="s">
        <v>25</v>
      </c>
      <c r="C57" s="4" t="s">
        <v>0</v>
      </c>
    </row>
    <row r="58" spans="1:9">
      <c r="A58" s="4" t="s">
        <v>15</v>
      </c>
      <c r="B58" s="4" t="s">
        <v>12</v>
      </c>
      <c r="C58" t="s">
        <v>4</v>
      </c>
      <c r="D58" t="s">
        <v>5</v>
      </c>
      <c r="E58" t="s">
        <v>6</v>
      </c>
      <c r="F58" t="s">
        <v>7</v>
      </c>
      <c r="G58" t="s">
        <v>9</v>
      </c>
      <c r="H58" t="s">
        <v>3</v>
      </c>
      <c r="I58" t="s">
        <v>10</v>
      </c>
    </row>
    <row r="59" spans="1:9">
      <c r="A59" t="s">
        <v>18</v>
      </c>
      <c r="B59" t="s">
        <v>13</v>
      </c>
      <c r="C59" s="19">
        <v>9</v>
      </c>
      <c r="D59" s="19">
        <v>0</v>
      </c>
      <c r="E59" s="19">
        <v>6</v>
      </c>
      <c r="F59" s="19">
        <v>0</v>
      </c>
      <c r="G59" s="19">
        <v>1</v>
      </c>
      <c r="H59" s="19">
        <v>0</v>
      </c>
      <c r="I59" s="19">
        <v>16</v>
      </c>
    </row>
    <row r="60" spans="1:9">
      <c r="B60" t="s">
        <v>14</v>
      </c>
      <c r="C60" s="19">
        <v>2</v>
      </c>
      <c r="D60" s="19">
        <v>0</v>
      </c>
      <c r="E60" s="19">
        <v>4</v>
      </c>
      <c r="F60" s="19">
        <v>0</v>
      </c>
      <c r="G60" s="19">
        <v>5</v>
      </c>
      <c r="H60" s="19">
        <v>0</v>
      </c>
      <c r="I60" s="19">
        <v>11</v>
      </c>
    </row>
    <row r="61" spans="1:9">
      <c r="A61" t="s">
        <v>26</v>
      </c>
      <c r="C61" s="19">
        <v>11</v>
      </c>
      <c r="D61" s="19">
        <v>0</v>
      </c>
      <c r="E61" s="19">
        <v>10</v>
      </c>
      <c r="F61" s="19">
        <v>0</v>
      </c>
      <c r="G61" s="19">
        <v>6</v>
      </c>
      <c r="H61" s="19">
        <v>0</v>
      </c>
      <c r="I61" s="19">
        <v>27</v>
      </c>
    </row>
    <row r="62" spans="1:9">
      <c r="A62" t="s">
        <v>17</v>
      </c>
      <c r="B62" t="s">
        <v>13</v>
      </c>
      <c r="C62" s="19">
        <v>17</v>
      </c>
      <c r="D62" s="19">
        <v>6</v>
      </c>
      <c r="E62" s="19">
        <v>1</v>
      </c>
      <c r="F62" s="19">
        <v>0</v>
      </c>
      <c r="G62" s="19">
        <v>3</v>
      </c>
      <c r="H62" s="19">
        <v>10</v>
      </c>
      <c r="I62" s="19">
        <v>37</v>
      </c>
    </row>
    <row r="63" spans="1:9">
      <c r="B63" t="s">
        <v>14</v>
      </c>
      <c r="C63" s="19">
        <v>3</v>
      </c>
      <c r="D63" s="19">
        <v>5</v>
      </c>
      <c r="E63" s="19">
        <v>9</v>
      </c>
      <c r="F63" s="19">
        <v>0</v>
      </c>
      <c r="G63" s="19">
        <v>1</v>
      </c>
      <c r="H63" s="19">
        <v>6</v>
      </c>
      <c r="I63" s="19">
        <v>24</v>
      </c>
    </row>
    <row r="64" spans="1:9">
      <c r="A64" t="s">
        <v>27</v>
      </c>
      <c r="C64" s="19">
        <v>20</v>
      </c>
      <c r="D64" s="19">
        <v>11</v>
      </c>
      <c r="E64" s="19">
        <v>10</v>
      </c>
      <c r="F64" s="19">
        <v>0</v>
      </c>
      <c r="G64" s="19">
        <v>4</v>
      </c>
      <c r="H64" s="19">
        <v>16</v>
      </c>
      <c r="I64" s="19">
        <v>61</v>
      </c>
    </row>
    <row r="65" spans="1:9">
      <c r="A65" t="s">
        <v>16</v>
      </c>
      <c r="B65" t="s">
        <v>13</v>
      </c>
      <c r="C65" s="19">
        <v>17</v>
      </c>
      <c r="D65" s="19">
        <v>0</v>
      </c>
      <c r="E65" s="19">
        <v>0</v>
      </c>
      <c r="F65" s="19">
        <v>8</v>
      </c>
      <c r="G65" s="19">
        <v>1</v>
      </c>
      <c r="H65" s="19">
        <v>29</v>
      </c>
      <c r="I65" s="19">
        <v>55</v>
      </c>
    </row>
    <row r="66" spans="1:9">
      <c r="B66" t="s">
        <v>14</v>
      </c>
      <c r="C66" s="19">
        <v>15</v>
      </c>
      <c r="D66" s="19">
        <v>0</v>
      </c>
      <c r="E66" s="19">
        <v>0</v>
      </c>
      <c r="F66" s="19">
        <v>5</v>
      </c>
      <c r="G66" s="19">
        <v>3</v>
      </c>
      <c r="H66" s="19">
        <v>21</v>
      </c>
      <c r="I66" s="19">
        <v>44</v>
      </c>
    </row>
    <row r="67" spans="1:9">
      <c r="A67" t="s">
        <v>28</v>
      </c>
      <c r="C67" s="19">
        <v>32</v>
      </c>
      <c r="D67" s="19">
        <v>0</v>
      </c>
      <c r="E67" s="19">
        <v>0</v>
      </c>
      <c r="F67" s="19">
        <v>13</v>
      </c>
      <c r="G67" s="19">
        <v>4</v>
      </c>
      <c r="H67" s="19">
        <v>50</v>
      </c>
      <c r="I67" s="19">
        <v>99</v>
      </c>
    </row>
    <row r="68" spans="1:9">
      <c r="A68" t="s">
        <v>10</v>
      </c>
      <c r="C68" s="19">
        <v>63</v>
      </c>
      <c r="D68" s="19">
        <v>11</v>
      </c>
      <c r="E68" s="19">
        <v>20</v>
      </c>
      <c r="F68" s="19">
        <v>13</v>
      </c>
      <c r="G68" s="19">
        <v>14</v>
      </c>
      <c r="H68" s="19">
        <v>66</v>
      </c>
      <c r="I68" s="19">
        <v>187</v>
      </c>
    </row>
    <row r="89" spans="1:9">
      <c r="A89" s="4" t="s">
        <v>2</v>
      </c>
      <c r="C89" s="4" t="s">
        <v>0</v>
      </c>
    </row>
    <row r="90" spans="1:9">
      <c r="A90" s="4" t="s">
        <v>15</v>
      </c>
      <c r="B90" s="4" t="s">
        <v>12</v>
      </c>
      <c r="C90" t="s">
        <v>4</v>
      </c>
      <c r="D90" t="s">
        <v>5</v>
      </c>
      <c r="E90" t="s">
        <v>6</v>
      </c>
      <c r="F90" t="s">
        <v>7</v>
      </c>
      <c r="G90" t="s">
        <v>9</v>
      </c>
      <c r="H90" t="s">
        <v>3</v>
      </c>
      <c r="I90" t="s">
        <v>10</v>
      </c>
    </row>
    <row r="91" spans="1:9">
      <c r="A91" t="s">
        <v>18</v>
      </c>
      <c r="B91" t="s">
        <v>13</v>
      </c>
      <c r="C91" s="20">
        <v>2265</v>
      </c>
      <c r="D91" s="20">
        <v>0</v>
      </c>
      <c r="E91" s="20">
        <v>6291</v>
      </c>
      <c r="F91" s="20">
        <v>0</v>
      </c>
      <c r="G91" s="20">
        <v>1043</v>
      </c>
      <c r="H91" s="20">
        <v>0</v>
      </c>
      <c r="I91" s="20">
        <v>9599</v>
      </c>
    </row>
    <row r="92" spans="1:9">
      <c r="B92" t="s">
        <v>14</v>
      </c>
      <c r="C92" s="20">
        <v>490</v>
      </c>
      <c r="D92" s="20">
        <v>0</v>
      </c>
      <c r="E92" s="20">
        <v>4216</v>
      </c>
      <c r="F92" s="20">
        <v>0</v>
      </c>
      <c r="G92" s="20">
        <v>1745</v>
      </c>
      <c r="H92" s="20">
        <v>0</v>
      </c>
      <c r="I92" s="20">
        <v>6451</v>
      </c>
    </row>
    <row r="93" spans="1:9">
      <c r="A93" t="s">
        <v>26</v>
      </c>
      <c r="C93" s="20">
        <v>2755</v>
      </c>
      <c r="D93" s="20">
        <v>0</v>
      </c>
      <c r="E93" s="20">
        <v>10507</v>
      </c>
      <c r="F93" s="20">
        <v>0</v>
      </c>
      <c r="G93" s="20">
        <v>2788</v>
      </c>
      <c r="H93" s="20">
        <v>0</v>
      </c>
      <c r="I93" s="20">
        <v>16050</v>
      </c>
    </row>
    <row r="94" spans="1:9">
      <c r="A94" t="s">
        <v>17</v>
      </c>
      <c r="B94" t="s">
        <v>13</v>
      </c>
      <c r="C94" s="20">
        <v>16204</v>
      </c>
      <c r="D94" s="20">
        <v>6302</v>
      </c>
      <c r="E94" s="20">
        <v>1054</v>
      </c>
      <c r="F94" s="20">
        <v>0</v>
      </c>
      <c r="G94" s="20">
        <v>1047</v>
      </c>
      <c r="H94" s="20">
        <v>10952</v>
      </c>
      <c r="I94" s="20">
        <v>35559</v>
      </c>
    </row>
    <row r="95" spans="1:9">
      <c r="B95" t="s">
        <v>14</v>
      </c>
      <c r="C95" s="20">
        <v>2435</v>
      </c>
      <c r="D95" s="20">
        <v>2821</v>
      </c>
      <c r="E95" s="20">
        <v>9420</v>
      </c>
      <c r="F95" s="20">
        <v>0</v>
      </c>
      <c r="G95" s="20">
        <v>1043</v>
      </c>
      <c r="H95" s="20">
        <v>2684</v>
      </c>
      <c r="I95" s="20">
        <v>18403</v>
      </c>
    </row>
    <row r="96" spans="1:9">
      <c r="A96" t="s">
        <v>27</v>
      </c>
      <c r="C96" s="20">
        <v>18639</v>
      </c>
      <c r="D96" s="20">
        <v>9123</v>
      </c>
      <c r="E96" s="20">
        <v>10474</v>
      </c>
      <c r="F96" s="20">
        <v>0</v>
      </c>
      <c r="G96" s="20">
        <v>2090</v>
      </c>
      <c r="H96" s="20">
        <v>13636</v>
      </c>
      <c r="I96" s="20">
        <v>53962</v>
      </c>
    </row>
    <row r="97" spans="1:9">
      <c r="A97" t="s">
        <v>16</v>
      </c>
      <c r="B97" t="s">
        <v>13</v>
      </c>
      <c r="C97" s="20">
        <v>13276</v>
      </c>
      <c r="D97" s="20">
        <v>0</v>
      </c>
      <c r="E97" s="20">
        <v>0</v>
      </c>
      <c r="F97" s="20">
        <v>8410</v>
      </c>
      <c r="G97" s="20">
        <v>1043</v>
      </c>
      <c r="H97" s="20">
        <v>29656</v>
      </c>
      <c r="I97" s="20">
        <v>52385</v>
      </c>
    </row>
    <row r="98" spans="1:9">
      <c r="B98" t="s">
        <v>14</v>
      </c>
      <c r="C98" s="20">
        <v>15656</v>
      </c>
      <c r="D98" s="20">
        <v>0</v>
      </c>
      <c r="E98" s="20">
        <v>0</v>
      </c>
      <c r="F98" s="20">
        <v>5226</v>
      </c>
      <c r="G98" s="20">
        <v>3151</v>
      </c>
      <c r="H98" s="20">
        <v>17078</v>
      </c>
      <c r="I98" s="20">
        <v>41111</v>
      </c>
    </row>
    <row r="99" spans="1:9">
      <c r="A99" t="s">
        <v>28</v>
      </c>
      <c r="C99" s="20">
        <v>28932</v>
      </c>
      <c r="D99" s="20">
        <v>0</v>
      </c>
      <c r="E99" s="20">
        <v>0</v>
      </c>
      <c r="F99" s="20">
        <v>13636</v>
      </c>
      <c r="G99" s="20">
        <v>4194</v>
      </c>
      <c r="H99" s="20">
        <v>46734</v>
      </c>
      <c r="I99" s="20">
        <v>93496</v>
      </c>
    </row>
    <row r="100" spans="1:9">
      <c r="A100" t="s">
        <v>10</v>
      </c>
      <c r="C100" s="20">
        <v>50326</v>
      </c>
      <c r="D100" s="20">
        <v>9123</v>
      </c>
      <c r="E100" s="20">
        <v>20981</v>
      </c>
      <c r="F100" s="20">
        <v>13636</v>
      </c>
      <c r="G100" s="20">
        <v>9072</v>
      </c>
      <c r="H100" s="20">
        <v>60370</v>
      </c>
      <c r="I100" s="20">
        <v>163508</v>
      </c>
    </row>
  </sheetData>
  <conditionalFormatting pivot="1" sqref="B2:B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4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39:D39 C41:D41 C44:D44 C46:D46 C50:D50 C53:D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9 E41 E44 E46 E50 E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opLeftCell="A92" zoomScale="120" zoomScaleNormal="120" workbookViewId="0">
      <selection activeCell="A93" sqref="A93:S181"/>
    </sheetView>
  </sheetViews>
  <sheetFormatPr defaultRowHeight="14.45"/>
  <cols>
    <col min="1" max="1" width="15.85546875" bestFit="1" customWidth="1"/>
    <col min="2" max="2" width="15.7109375" customWidth="1"/>
    <col min="4" max="4" width="10.140625" bestFit="1" customWidth="1"/>
    <col min="6" max="6" width="16.7109375" bestFit="1" customWidth="1"/>
    <col min="7" max="7" width="19.7109375" style="2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1" customFormat="1" ht="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12</v>
      </c>
      <c r="I1" t="s">
        <v>0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</row>
    <row r="2" spans="1:19" ht="15">
      <c r="A2" t="s">
        <v>45</v>
      </c>
      <c r="B2">
        <v>44531</v>
      </c>
      <c r="C2">
        <v>1</v>
      </c>
      <c r="D2" t="s">
        <v>46</v>
      </c>
      <c r="E2">
        <v>2021</v>
      </c>
      <c r="F2">
        <v>39</v>
      </c>
      <c r="G2" t="s">
        <v>16</v>
      </c>
      <c r="H2" t="s">
        <v>13</v>
      </c>
      <c r="I2" t="s">
        <v>3</v>
      </c>
      <c r="J2" t="s">
        <v>47</v>
      </c>
      <c r="K2" t="s">
        <v>48</v>
      </c>
      <c r="L2" t="s">
        <v>49</v>
      </c>
      <c r="M2" t="s">
        <v>50</v>
      </c>
      <c r="N2">
        <v>4</v>
      </c>
      <c r="O2">
        <v>1252</v>
      </c>
      <c r="P2">
        <v>2295</v>
      </c>
      <c r="Q2">
        <v>4172</v>
      </c>
      <c r="R2">
        <f>N2*O2</f>
        <v>5008</v>
      </c>
      <c r="S2">
        <f>N2*P2</f>
        <v>9180</v>
      </c>
    </row>
    <row r="3" spans="1:19" ht="15">
      <c r="A3" t="s">
        <v>51</v>
      </c>
      <c r="B3">
        <v>44531</v>
      </c>
      <c r="C3">
        <v>1</v>
      </c>
      <c r="D3" t="s">
        <v>46</v>
      </c>
      <c r="E3">
        <v>2021</v>
      </c>
      <c r="F3">
        <v>44</v>
      </c>
      <c r="G3" t="s">
        <v>16</v>
      </c>
      <c r="H3" t="s">
        <v>14</v>
      </c>
      <c r="I3" t="s">
        <v>9</v>
      </c>
      <c r="J3" t="s">
        <v>52</v>
      </c>
      <c r="K3" t="s">
        <v>48</v>
      </c>
      <c r="L3" t="s">
        <v>49</v>
      </c>
      <c r="M3" t="s">
        <v>53</v>
      </c>
      <c r="N3">
        <v>1</v>
      </c>
      <c r="O3">
        <v>1266</v>
      </c>
      <c r="P3">
        <v>2320</v>
      </c>
      <c r="Q3">
        <v>1054</v>
      </c>
      <c r="R3">
        <f t="shared" ref="R3:R66" si="0">N3*O3</f>
        <v>1266</v>
      </c>
      <c r="S3">
        <f t="shared" ref="S3:S66" si="1">N3*P3</f>
        <v>2320</v>
      </c>
    </row>
    <row r="4" spans="1:19" ht="15">
      <c r="A4" t="s">
        <v>54</v>
      </c>
      <c r="B4">
        <v>44532</v>
      </c>
      <c r="C4">
        <v>2</v>
      </c>
      <c r="D4" t="s">
        <v>46</v>
      </c>
      <c r="E4">
        <v>2021</v>
      </c>
      <c r="F4">
        <v>37</v>
      </c>
      <c r="G4" t="s">
        <v>16</v>
      </c>
      <c r="H4" t="s">
        <v>14</v>
      </c>
      <c r="I4" t="s">
        <v>3</v>
      </c>
      <c r="J4" t="s">
        <v>47</v>
      </c>
      <c r="K4" t="s">
        <v>48</v>
      </c>
      <c r="L4" t="s">
        <v>49</v>
      </c>
      <c r="M4" t="s">
        <v>55</v>
      </c>
      <c r="N4">
        <v>2</v>
      </c>
      <c r="O4">
        <v>420</v>
      </c>
      <c r="P4">
        <v>769</v>
      </c>
      <c r="Q4">
        <v>698</v>
      </c>
      <c r="R4">
        <f t="shared" si="0"/>
        <v>840</v>
      </c>
      <c r="S4">
        <f t="shared" si="1"/>
        <v>1538</v>
      </c>
    </row>
    <row r="5" spans="1:19" ht="15">
      <c r="A5" t="s">
        <v>56</v>
      </c>
      <c r="B5">
        <v>44532</v>
      </c>
      <c r="C5">
        <v>2</v>
      </c>
      <c r="D5" t="s">
        <v>46</v>
      </c>
      <c r="E5">
        <v>2021</v>
      </c>
      <c r="F5">
        <v>31</v>
      </c>
      <c r="G5" t="s">
        <v>17</v>
      </c>
      <c r="H5" t="s">
        <v>13</v>
      </c>
      <c r="I5" t="s">
        <v>4</v>
      </c>
      <c r="J5" t="s">
        <v>57</v>
      </c>
      <c r="K5" t="s">
        <v>48</v>
      </c>
      <c r="L5" t="s">
        <v>49</v>
      </c>
      <c r="M5" t="s">
        <v>58</v>
      </c>
      <c r="N5">
        <v>1</v>
      </c>
      <c r="O5">
        <v>420</v>
      </c>
      <c r="P5">
        <v>769</v>
      </c>
      <c r="Q5">
        <v>349</v>
      </c>
      <c r="R5">
        <f t="shared" si="0"/>
        <v>420</v>
      </c>
      <c r="S5">
        <f t="shared" si="1"/>
        <v>769</v>
      </c>
    </row>
    <row r="6" spans="1:19" ht="15">
      <c r="A6" t="s">
        <v>59</v>
      </c>
      <c r="B6">
        <v>44533</v>
      </c>
      <c r="C6">
        <v>3</v>
      </c>
      <c r="D6" t="s">
        <v>46</v>
      </c>
      <c r="E6">
        <v>2021</v>
      </c>
      <c r="F6">
        <v>37</v>
      </c>
      <c r="G6" t="s">
        <v>16</v>
      </c>
      <c r="H6" t="s">
        <v>13</v>
      </c>
      <c r="I6" t="s">
        <v>8</v>
      </c>
      <c r="J6" t="s">
        <v>47</v>
      </c>
      <c r="K6" t="s">
        <v>48</v>
      </c>
      <c r="L6" t="s">
        <v>49</v>
      </c>
      <c r="M6" t="s">
        <v>50</v>
      </c>
      <c r="N6">
        <v>2</v>
      </c>
      <c r="O6">
        <v>1252</v>
      </c>
      <c r="P6">
        <v>2295</v>
      </c>
      <c r="Q6">
        <v>2086</v>
      </c>
      <c r="R6">
        <f t="shared" si="0"/>
        <v>2504</v>
      </c>
      <c r="S6">
        <f t="shared" si="1"/>
        <v>4590</v>
      </c>
    </row>
    <row r="7" spans="1:19" ht="15">
      <c r="A7" t="s">
        <v>60</v>
      </c>
      <c r="B7">
        <v>44533</v>
      </c>
      <c r="C7">
        <v>3</v>
      </c>
      <c r="D7" t="s">
        <v>46</v>
      </c>
      <c r="E7">
        <v>2021</v>
      </c>
      <c r="F7">
        <v>24</v>
      </c>
      <c r="G7" t="s">
        <v>18</v>
      </c>
      <c r="H7" t="s">
        <v>13</v>
      </c>
      <c r="I7" t="s">
        <v>9</v>
      </c>
      <c r="J7" t="s">
        <v>52</v>
      </c>
      <c r="K7" t="s">
        <v>48</v>
      </c>
      <c r="L7" t="s">
        <v>49</v>
      </c>
      <c r="M7" t="s">
        <v>61</v>
      </c>
      <c r="N7">
        <v>1</v>
      </c>
      <c r="O7">
        <v>1252</v>
      </c>
      <c r="P7">
        <v>2295</v>
      </c>
      <c r="Q7">
        <v>1043</v>
      </c>
      <c r="R7">
        <f t="shared" si="0"/>
        <v>1252</v>
      </c>
      <c r="S7">
        <f t="shared" si="1"/>
        <v>2295</v>
      </c>
    </row>
    <row r="8" spans="1:19" ht="15">
      <c r="A8" t="s">
        <v>62</v>
      </c>
      <c r="B8">
        <v>44533</v>
      </c>
      <c r="C8">
        <v>3</v>
      </c>
      <c r="D8" t="s">
        <v>46</v>
      </c>
      <c r="E8">
        <v>2021</v>
      </c>
      <c r="F8">
        <v>37</v>
      </c>
      <c r="G8" t="s">
        <v>16</v>
      </c>
      <c r="H8" t="s">
        <v>14</v>
      </c>
      <c r="I8" t="s">
        <v>11</v>
      </c>
      <c r="J8" t="s">
        <v>63</v>
      </c>
      <c r="K8" t="s">
        <v>48</v>
      </c>
      <c r="L8" t="s">
        <v>49</v>
      </c>
      <c r="M8" t="s">
        <v>50</v>
      </c>
      <c r="N8">
        <v>1</v>
      </c>
      <c r="O8">
        <v>1252</v>
      </c>
      <c r="P8">
        <v>2295</v>
      </c>
      <c r="Q8">
        <v>1043</v>
      </c>
      <c r="R8">
        <f t="shared" si="0"/>
        <v>1252</v>
      </c>
      <c r="S8">
        <f t="shared" si="1"/>
        <v>2295</v>
      </c>
    </row>
    <row r="9" spans="1:19" ht="15">
      <c r="A9" t="s">
        <v>64</v>
      </c>
      <c r="B9">
        <v>44534</v>
      </c>
      <c r="C9">
        <v>4</v>
      </c>
      <c r="D9" t="s">
        <v>46</v>
      </c>
      <c r="E9">
        <v>2021</v>
      </c>
      <c r="F9">
        <v>31</v>
      </c>
      <c r="G9" t="s">
        <v>17</v>
      </c>
      <c r="H9" t="s">
        <v>13</v>
      </c>
      <c r="I9" t="s">
        <v>4</v>
      </c>
      <c r="J9" t="s">
        <v>57</v>
      </c>
      <c r="K9" t="s">
        <v>48</v>
      </c>
      <c r="L9" t="s">
        <v>49</v>
      </c>
      <c r="M9" t="s">
        <v>58</v>
      </c>
      <c r="N9">
        <v>4</v>
      </c>
      <c r="O9">
        <v>420</v>
      </c>
      <c r="P9">
        <v>769</v>
      </c>
      <c r="Q9">
        <v>1396</v>
      </c>
      <c r="R9">
        <f t="shared" si="0"/>
        <v>1680</v>
      </c>
      <c r="S9">
        <f t="shared" si="1"/>
        <v>3076</v>
      </c>
    </row>
    <row r="10" spans="1:19" ht="15">
      <c r="A10" t="s">
        <v>65</v>
      </c>
      <c r="B10">
        <v>44535</v>
      </c>
      <c r="C10">
        <v>5</v>
      </c>
      <c r="D10" t="s">
        <v>46</v>
      </c>
      <c r="E10">
        <v>2021</v>
      </c>
      <c r="F10">
        <v>39</v>
      </c>
      <c r="G10" t="s">
        <v>16</v>
      </c>
      <c r="H10" t="s">
        <v>13</v>
      </c>
      <c r="I10" t="s">
        <v>3</v>
      </c>
      <c r="J10" t="s">
        <v>47</v>
      </c>
      <c r="K10" t="s">
        <v>48</v>
      </c>
      <c r="L10" t="s">
        <v>49</v>
      </c>
      <c r="M10" t="s">
        <v>50</v>
      </c>
      <c r="N10">
        <v>4</v>
      </c>
      <c r="O10">
        <v>1252</v>
      </c>
      <c r="P10">
        <v>2295</v>
      </c>
      <c r="Q10">
        <v>4172</v>
      </c>
      <c r="R10">
        <f t="shared" si="0"/>
        <v>5008</v>
      </c>
      <c r="S10">
        <f t="shared" si="1"/>
        <v>9180</v>
      </c>
    </row>
    <row r="11" spans="1:19" ht="15">
      <c r="A11" t="s">
        <v>66</v>
      </c>
      <c r="B11">
        <v>44535</v>
      </c>
      <c r="D11" t="s">
        <v>46</v>
      </c>
      <c r="E11">
        <v>2021</v>
      </c>
      <c r="F11">
        <v>42</v>
      </c>
      <c r="G11" t="s">
        <v>16</v>
      </c>
      <c r="H11" t="s">
        <v>14</v>
      </c>
      <c r="I11" t="s">
        <v>7</v>
      </c>
      <c r="J11" t="s">
        <v>67</v>
      </c>
      <c r="K11" t="s">
        <v>48</v>
      </c>
      <c r="L11" t="s">
        <v>49</v>
      </c>
      <c r="M11" t="s">
        <v>61</v>
      </c>
      <c r="N11">
        <v>4</v>
      </c>
      <c r="O11">
        <v>1252</v>
      </c>
      <c r="P11">
        <v>2295</v>
      </c>
      <c r="Q11">
        <v>4172</v>
      </c>
      <c r="R11">
        <f t="shared" si="0"/>
        <v>5008</v>
      </c>
      <c r="S11">
        <f t="shared" si="1"/>
        <v>9180</v>
      </c>
    </row>
    <row r="12" spans="1:19" ht="15">
      <c r="A12" t="s">
        <v>68</v>
      </c>
      <c r="B12">
        <v>44535</v>
      </c>
      <c r="C12">
        <v>5</v>
      </c>
      <c r="D12" t="s">
        <v>46</v>
      </c>
      <c r="E12">
        <v>2021</v>
      </c>
      <c r="F12">
        <v>35</v>
      </c>
      <c r="G12" t="s">
        <v>16</v>
      </c>
      <c r="H12" t="s">
        <v>13</v>
      </c>
      <c r="I12" t="s">
        <v>4</v>
      </c>
      <c r="J12" t="s">
        <v>69</v>
      </c>
      <c r="K12" t="s">
        <v>48</v>
      </c>
      <c r="L12" t="s">
        <v>49</v>
      </c>
      <c r="M12" t="s">
        <v>70</v>
      </c>
      <c r="N12">
        <v>1</v>
      </c>
      <c r="O12">
        <v>1266</v>
      </c>
      <c r="P12">
        <v>2320</v>
      </c>
      <c r="Q12">
        <v>1054</v>
      </c>
      <c r="R12">
        <f t="shared" si="0"/>
        <v>1266</v>
      </c>
      <c r="S12">
        <f t="shared" si="1"/>
        <v>2320</v>
      </c>
    </row>
    <row r="13" spans="1:19" ht="15">
      <c r="A13" t="s">
        <v>71</v>
      </c>
      <c r="B13">
        <v>44535</v>
      </c>
      <c r="C13">
        <v>5</v>
      </c>
      <c r="D13" t="s">
        <v>46</v>
      </c>
      <c r="E13">
        <v>2021</v>
      </c>
      <c r="F13">
        <v>37</v>
      </c>
      <c r="G13" t="s">
        <v>16</v>
      </c>
      <c r="H13" t="s">
        <v>13</v>
      </c>
      <c r="I13" t="s">
        <v>3</v>
      </c>
      <c r="J13" t="s">
        <v>47</v>
      </c>
      <c r="K13" t="s">
        <v>48</v>
      </c>
      <c r="L13" t="s">
        <v>49</v>
      </c>
      <c r="M13" t="s">
        <v>50</v>
      </c>
      <c r="N13">
        <v>1</v>
      </c>
      <c r="O13">
        <v>1252</v>
      </c>
      <c r="P13">
        <v>2295</v>
      </c>
      <c r="Q13">
        <v>1043</v>
      </c>
      <c r="R13">
        <f t="shared" si="0"/>
        <v>1252</v>
      </c>
      <c r="S13">
        <f t="shared" si="1"/>
        <v>2295</v>
      </c>
    </row>
    <row r="14" spans="1:19" ht="15">
      <c r="A14" t="s">
        <v>72</v>
      </c>
      <c r="B14">
        <v>44536</v>
      </c>
      <c r="C14">
        <v>6</v>
      </c>
      <c r="D14" t="s">
        <v>46</v>
      </c>
      <c r="E14">
        <v>2021</v>
      </c>
      <c r="F14">
        <v>23</v>
      </c>
      <c r="G14" t="s">
        <v>18</v>
      </c>
      <c r="H14" t="s">
        <v>14</v>
      </c>
      <c r="I14" t="s">
        <v>9</v>
      </c>
      <c r="J14" t="s">
        <v>52</v>
      </c>
      <c r="K14" t="s">
        <v>48</v>
      </c>
      <c r="L14" t="s">
        <v>49</v>
      </c>
      <c r="M14" t="s">
        <v>55</v>
      </c>
      <c r="N14">
        <v>3</v>
      </c>
      <c r="O14">
        <v>420</v>
      </c>
      <c r="P14">
        <v>769</v>
      </c>
      <c r="Q14">
        <v>1047</v>
      </c>
      <c r="R14">
        <f t="shared" si="0"/>
        <v>1260</v>
      </c>
      <c r="S14">
        <f t="shared" si="1"/>
        <v>2307</v>
      </c>
    </row>
    <row r="15" spans="1:19" ht="15">
      <c r="A15" t="s">
        <v>73</v>
      </c>
      <c r="B15">
        <v>44536</v>
      </c>
      <c r="C15">
        <v>6</v>
      </c>
      <c r="D15" t="s">
        <v>46</v>
      </c>
      <c r="E15">
        <v>2021</v>
      </c>
      <c r="F15">
        <v>27</v>
      </c>
      <c r="G15" t="s">
        <v>17</v>
      </c>
      <c r="H15" t="s">
        <v>14</v>
      </c>
      <c r="I15" t="s">
        <v>5</v>
      </c>
      <c r="J15" t="s">
        <v>74</v>
      </c>
      <c r="K15" t="s">
        <v>48</v>
      </c>
      <c r="L15" t="s">
        <v>49</v>
      </c>
      <c r="M15" t="s">
        <v>50</v>
      </c>
      <c r="N15">
        <v>1</v>
      </c>
      <c r="O15">
        <v>1252</v>
      </c>
      <c r="P15">
        <v>2295</v>
      </c>
      <c r="Q15">
        <v>1043</v>
      </c>
      <c r="R15">
        <f t="shared" si="0"/>
        <v>1252</v>
      </c>
      <c r="S15">
        <f t="shared" si="1"/>
        <v>2295</v>
      </c>
    </row>
    <row r="16" spans="1:19" ht="15">
      <c r="A16" t="s">
        <v>75</v>
      </c>
      <c r="B16">
        <v>44536</v>
      </c>
      <c r="C16">
        <v>6</v>
      </c>
      <c r="D16" t="s">
        <v>46</v>
      </c>
      <c r="E16">
        <v>2021</v>
      </c>
      <c r="F16">
        <v>36</v>
      </c>
      <c r="G16" t="s">
        <v>16</v>
      </c>
      <c r="H16" t="s">
        <v>14</v>
      </c>
      <c r="I16" t="s">
        <v>4</v>
      </c>
      <c r="J16" t="s">
        <v>57</v>
      </c>
      <c r="K16" t="s">
        <v>48</v>
      </c>
      <c r="L16" t="s">
        <v>49</v>
      </c>
      <c r="M16" t="s">
        <v>76</v>
      </c>
      <c r="N16">
        <v>1</v>
      </c>
      <c r="O16">
        <v>1252</v>
      </c>
      <c r="P16">
        <v>2295</v>
      </c>
      <c r="Q16">
        <v>1043</v>
      </c>
      <c r="R16">
        <f t="shared" si="0"/>
        <v>1252</v>
      </c>
      <c r="S16">
        <f t="shared" si="1"/>
        <v>2295</v>
      </c>
    </row>
    <row r="17" spans="1:19" ht="15">
      <c r="A17" t="s">
        <v>77</v>
      </c>
      <c r="B17">
        <v>44536</v>
      </c>
      <c r="C17">
        <v>6</v>
      </c>
      <c r="D17" t="s">
        <v>46</v>
      </c>
      <c r="E17">
        <v>2021</v>
      </c>
      <c r="F17">
        <v>47</v>
      </c>
      <c r="G17" t="s">
        <v>16</v>
      </c>
      <c r="H17" t="s">
        <v>14</v>
      </c>
      <c r="I17" t="s">
        <v>9</v>
      </c>
      <c r="J17" t="s">
        <v>52</v>
      </c>
      <c r="K17" t="s">
        <v>48</v>
      </c>
      <c r="L17" t="s">
        <v>49</v>
      </c>
      <c r="M17" t="s">
        <v>70</v>
      </c>
      <c r="N17">
        <v>1</v>
      </c>
      <c r="O17">
        <v>1266</v>
      </c>
      <c r="P17">
        <v>2320</v>
      </c>
      <c r="Q17">
        <v>1054</v>
      </c>
      <c r="R17">
        <f t="shared" si="0"/>
        <v>1266</v>
      </c>
      <c r="S17">
        <f t="shared" si="1"/>
        <v>2320</v>
      </c>
    </row>
    <row r="18" spans="1:19" ht="15">
      <c r="A18" t="s">
        <v>78</v>
      </c>
      <c r="B18">
        <v>44537</v>
      </c>
      <c r="C18">
        <v>7</v>
      </c>
      <c r="D18" t="s">
        <v>46</v>
      </c>
      <c r="E18">
        <v>2021</v>
      </c>
      <c r="F18">
        <v>30</v>
      </c>
      <c r="G18" t="s">
        <v>17</v>
      </c>
      <c r="H18" t="s">
        <v>14</v>
      </c>
      <c r="I18" t="s">
        <v>3</v>
      </c>
      <c r="J18" t="s">
        <v>47</v>
      </c>
      <c r="K18" t="s">
        <v>48</v>
      </c>
      <c r="L18" t="s">
        <v>49</v>
      </c>
      <c r="M18" t="s">
        <v>79</v>
      </c>
      <c r="N18">
        <v>4</v>
      </c>
      <c r="O18">
        <v>420</v>
      </c>
      <c r="P18">
        <v>769</v>
      </c>
      <c r="Q18">
        <v>1396</v>
      </c>
      <c r="R18">
        <f t="shared" si="0"/>
        <v>1680</v>
      </c>
      <c r="S18">
        <f t="shared" si="1"/>
        <v>3076</v>
      </c>
    </row>
    <row r="19" spans="1:19" ht="15">
      <c r="A19" t="s">
        <v>80</v>
      </c>
      <c r="B19">
        <v>44537</v>
      </c>
      <c r="C19">
        <v>7</v>
      </c>
      <c r="D19" t="s">
        <v>46</v>
      </c>
      <c r="E19">
        <v>2021</v>
      </c>
      <c r="F19">
        <v>38</v>
      </c>
      <c r="G19" t="s">
        <v>16</v>
      </c>
      <c r="H19" t="s">
        <v>14</v>
      </c>
      <c r="I19" t="s">
        <v>3</v>
      </c>
      <c r="J19" t="s">
        <v>47</v>
      </c>
      <c r="K19" t="s">
        <v>48</v>
      </c>
      <c r="L19" t="s">
        <v>49</v>
      </c>
      <c r="M19" t="s">
        <v>53</v>
      </c>
      <c r="N19">
        <v>2</v>
      </c>
      <c r="O19">
        <v>1266</v>
      </c>
      <c r="P19">
        <v>2320</v>
      </c>
      <c r="Q19">
        <v>2108</v>
      </c>
      <c r="R19">
        <f t="shared" si="0"/>
        <v>2532</v>
      </c>
      <c r="S19">
        <f t="shared" si="1"/>
        <v>4640</v>
      </c>
    </row>
    <row r="20" spans="1:19" ht="15">
      <c r="A20" t="s">
        <v>81</v>
      </c>
      <c r="B20">
        <v>44538</v>
      </c>
      <c r="C20">
        <v>8</v>
      </c>
      <c r="D20" t="s">
        <v>46</v>
      </c>
      <c r="E20">
        <v>2021</v>
      </c>
      <c r="F20">
        <v>19</v>
      </c>
      <c r="G20" t="s">
        <v>18</v>
      </c>
      <c r="H20" t="s">
        <v>13</v>
      </c>
      <c r="I20" t="s">
        <v>4</v>
      </c>
      <c r="J20" t="s">
        <v>57</v>
      </c>
      <c r="K20" t="s">
        <v>48</v>
      </c>
      <c r="L20" t="s">
        <v>49</v>
      </c>
      <c r="M20" t="s">
        <v>82</v>
      </c>
      <c r="N20">
        <v>4</v>
      </c>
      <c r="O20">
        <v>308</v>
      </c>
      <c r="P20">
        <v>565</v>
      </c>
      <c r="Q20">
        <v>1028</v>
      </c>
      <c r="R20">
        <f t="shared" si="0"/>
        <v>1232</v>
      </c>
      <c r="S20">
        <f t="shared" si="1"/>
        <v>2260</v>
      </c>
    </row>
    <row r="21" spans="1:19" ht="15">
      <c r="A21" t="s">
        <v>83</v>
      </c>
      <c r="B21">
        <v>44538</v>
      </c>
      <c r="C21">
        <v>8</v>
      </c>
      <c r="D21" t="s">
        <v>46</v>
      </c>
      <c r="E21">
        <v>2021</v>
      </c>
      <c r="F21">
        <v>30</v>
      </c>
      <c r="G21" t="s">
        <v>17</v>
      </c>
      <c r="H21" t="s">
        <v>13</v>
      </c>
      <c r="I21" t="s">
        <v>5</v>
      </c>
      <c r="J21" t="s">
        <v>74</v>
      </c>
      <c r="K21" t="s">
        <v>48</v>
      </c>
      <c r="L21" t="s">
        <v>49</v>
      </c>
      <c r="M21" t="s">
        <v>70</v>
      </c>
      <c r="N21">
        <v>4</v>
      </c>
      <c r="O21">
        <v>1266</v>
      </c>
      <c r="P21">
        <v>2320</v>
      </c>
      <c r="Q21">
        <v>4216</v>
      </c>
      <c r="R21">
        <f t="shared" si="0"/>
        <v>5064</v>
      </c>
      <c r="S21">
        <f t="shared" si="1"/>
        <v>9280</v>
      </c>
    </row>
    <row r="22" spans="1:19" ht="15">
      <c r="A22" t="s">
        <v>84</v>
      </c>
      <c r="B22">
        <v>44538</v>
      </c>
      <c r="C22">
        <v>8</v>
      </c>
      <c r="D22" t="s">
        <v>46</v>
      </c>
      <c r="E22">
        <v>2021</v>
      </c>
      <c r="F22">
        <v>39</v>
      </c>
      <c r="G22" t="s">
        <v>16</v>
      </c>
      <c r="H22" t="s">
        <v>13</v>
      </c>
      <c r="I22" t="s">
        <v>3</v>
      </c>
      <c r="J22" t="s">
        <v>85</v>
      </c>
      <c r="K22" t="s">
        <v>48</v>
      </c>
      <c r="L22" t="s">
        <v>49</v>
      </c>
      <c r="M22" t="s">
        <v>86</v>
      </c>
      <c r="N22">
        <v>2</v>
      </c>
      <c r="O22">
        <v>1252</v>
      </c>
      <c r="P22">
        <v>2295</v>
      </c>
      <c r="Q22">
        <v>2086</v>
      </c>
      <c r="R22">
        <f t="shared" si="0"/>
        <v>2504</v>
      </c>
      <c r="S22">
        <f t="shared" si="1"/>
        <v>4590</v>
      </c>
    </row>
    <row r="23" spans="1:19" ht="15">
      <c r="A23" t="s">
        <v>87</v>
      </c>
      <c r="B23">
        <v>44538</v>
      </c>
      <c r="C23">
        <v>8</v>
      </c>
      <c r="D23" t="s">
        <v>46</v>
      </c>
      <c r="E23">
        <v>2021</v>
      </c>
      <c r="F23">
        <v>35</v>
      </c>
      <c r="G23" t="s">
        <v>16</v>
      </c>
      <c r="H23" t="s">
        <v>13</v>
      </c>
      <c r="I23" t="s">
        <v>3</v>
      </c>
      <c r="J23" t="s">
        <v>47</v>
      </c>
      <c r="K23" t="s">
        <v>48</v>
      </c>
      <c r="L23" t="s">
        <v>49</v>
      </c>
      <c r="M23" t="s">
        <v>86</v>
      </c>
      <c r="N23">
        <v>1</v>
      </c>
      <c r="O23">
        <v>295</v>
      </c>
      <c r="P23">
        <v>540</v>
      </c>
      <c r="Q23">
        <v>245</v>
      </c>
      <c r="R23">
        <f t="shared" si="0"/>
        <v>295</v>
      </c>
      <c r="S23">
        <f t="shared" si="1"/>
        <v>540</v>
      </c>
    </row>
    <row r="24" spans="1:19" ht="15">
      <c r="A24" t="s">
        <v>88</v>
      </c>
      <c r="B24">
        <v>44539</v>
      </c>
      <c r="C24">
        <v>9</v>
      </c>
      <c r="D24" t="s">
        <v>46</v>
      </c>
      <c r="E24">
        <v>2021</v>
      </c>
      <c r="F24">
        <v>33</v>
      </c>
      <c r="G24" t="s">
        <v>17</v>
      </c>
      <c r="H24" t="s">
        <v>13</v>
      </c>
      <c r="I24" t="s">
        <v>4</v>
      </c>
      <c r="J24" t="s">
        <v>89</v>
      </c>
      <c r="K24" t="s">
        <v>48</v>
      </c>
      <c r="L24" t="s">
        <v>49</v>
      </c>
      <c r="M24" t="s">
        <v>90</v>
      </c>
      <c r="N24">
        <v>2</v>
      </c>
      <c r="O24">
        <v>1898</v>
      </c>
      <c r="P24">
        <v>3375</v>
      </c>
      <c r="Q24">
        <v>2954</v>
      </c>
      <c r="R24">
        <f t="shared" si="0"/>
        <v>3796</v>
      </c>
      <c r="S24">
        <f t="shared" si="1"/>
        <v>6750</v>
      </c>
    </row>
    <row r="25" spans="1:19" ht="15">
      <c r="A25" t="s">
        <v>91</v>
      </c>
      <c r="B25">
        <v>44539</v>
      </c>
      <c r="C25">
        <v>9</v>
      </c>
      <c r="D25" t="s">
        <v>46</v>
      </c>
      <c r="E25">
        <v>2021</v>
      </c>
      <c r="F25">
        <v>41</v>
      </c>
      <c r="G25" t="s">
        <v>16</v>
      </c>
      <c r="H25" t="s">
        <v>13</v>
      </c>
      <c r="I25" t="s">
        <v>7</v>
      </c>
      <c r="J25" t="s">
        <v>92</v>
      </c>
      <c r="K25" t="s">
        <v>48</v>
      </c>
      <c r="L25" t="s">
        <v>49</v>
      </c>
      <c r="M25" t="s">
        <v>53</v>
      </c>
      <c r="N25">
        <v>1</v>
      </c>
      <c r="O25">
        <v>1266</v>
      </c>
      <c r="P25">
        <v>2320</v>
      </c>
      <c r="Q25">
        <v>1054</v>
      </c>
      <c r="R25">
        <f t="shared" si="0"/>
        <v>1266</v>
      </c>
      <c r="S25">
        <f t="shared" si="1"/>
        <v>2320</v>
      </c>
    </row>
    <row r="26" spans="1:19" ht="15">
      <c r="A26" t="s">
        <v>93</v>
      </c>
      <c r="B26">
        <v>44540</v>
      </c>
      <c r="C26">
        <v>10</v>
      </c>
      <c r="D26" t="s">
        <v>46</v>
      </c>
      <c r="E26">
        <v>2021</v>
      </c>
      <c r="F26">
        <v>34</v>
      </c>
      <c r="G26" t="s">
        <v>17</v>
      </c>
      <c r="H26" t="s">
        <v>13</v>
      </c>
      <c r="I26" t="s">
        <v>3</v>
      </c>
      <c r="J26" t="s">
        <v>47</v>
      </c>
      <c r="K26" t="s">
        <v>48</v>
      </c>
      <c r="L26" t="s">
        <v>49</v>
      </c>
      <c r="M26" t="s">
        <v>76</v>
      </c>
      <c r="N26">
        <v>2</v>
      </c>
      <c r="O26">
        <v>1252</v>
      </c>
      <c r="P26">
        <v>2295</v>
      </c>
      <c r="Q26">
        <v>2086</v>
      </c>
      <c r="R26">
        <f t="shared" si="0"/>
        <v>2504</v>
      </c>
      <c r="S26">
        <f t="shared" si="1"/>
        <v>4590</v>
      </c>
    </row>
    <row r="27" spans="1:19" ht="15">
      <c r="A27" t="s">
        <v>94</v>
      </c>
      <c r="B27">
        <v>44540</v>
      </c>
      <c r="C27">
        <v>10</v>
      </c>
      <c r="D27" t="s">
        <v>46</v>
      </c>
      <c r="E27">
        <v>2021</v>
      </c>
      <c r="F27">
        <v>40</v>
      </c>
      <c r="G27" t="s">
        <v>16</v>
      </c>
      <c r="H27" t="s">
        <v>14</v>
      </c>
      <c r="I27" t="s">
        <v>4</v>
      </c>
      <c r="J27" t="s">
        <v>57</v>
      </c>
      <c r="K27" t="s">
        <v>48</v>
      </c>
      <c r="L27" t="s">
        <v>49</v>
      </c>
      <c r="M27" t="s">
        <v>76</v>
      </c>
      <c r="N27">
        <v>2</v>
      </c>
      <c r="O27">
        <v>1252</v>
      </c>
      <c r="P27">
        <v>2295</v>
      </c>
      <c r="Q27">
        <v>2086</v>
      </c>
      <c r="R27">
        <f t="shared" si="0"/>
        <v>2504</v>
      </c>
      <c r="S27">
        <f t="shared" si="1"/>
        <v>4590</v>
      </c>
    </row>
    <row r="28" spans="1:19" ht="15">
      <c r="A28" t="s">
        <v>95</v>
      </c>
      <c r="B28">
        <v>44540</v>
      </c>
      <c r="C28">
        <v>10</v>
      </c>
      <c r="D28" t="s">
        <v>46</v>
      </c>
      <c r="E28">
        <v>2021</v>
      </c>
      <c r="F28">
        <v>26</v>
      </c>
      <c r="G28" t="s">
        <v>17</v>
      </c>
      <c r="H28" t="s">
        <v>14</v>
      </c>
      <c r="I28" t="s">
        <v>9</v>
      </c>
      <c r="J28" t="s">
        <v>52</v>
      </c>
      <c r="K28" t="s">
        <v>48</v>
      </c>
      <c r="L28" t="s">
        <v>49</v>
      </c>
      <c r="M28" t="s">
        <v>61</v>
      </c>
      <c r="N28">
        <v>1</v>
      </c>
      <c r="O28">
        <v>1252</v>
      </c>
      <c r="P28">
        <v>2295</v>
      </c>
      <c r="Q28">
        <v>1043</v>
      </c>
      <c r="R28">
        <f t="shared" si="0"/>
        <v>1252</v>
      </c>
      <c r="S28">
        <f t="shared" si="1"/>
        <v>2295</v>
      </c>
    </row>
    <row r="29" spans="1:19" ht="15">
      <c r="A29" t="s">
        <v>96</v>
      </c>
      <c r="B29">
        <v>44540</v>
      </c>
      <c r="C29">
        <v>10</v>
      </c>
      <c r="D29" t="s">
        <v>46</v>
      </c>
      <c r="E29">
        <v>2021</v>
      </c>
      <c r="F29">
        <v>34</v>
      </c>
      <c r="G29" t="s">
        <v>17</v>
      </c>
      <c r="H29" t="s">
        <v>14</v>
      </c>
      <c r="I29" t="s">
        <v>3</v>
      </c>
      <c r="J29" t="s">
        <v>47</v>
      </c>
      <c r="K29" t="s">
        <v>48</v>
      </c>
      <c r="L29" t="s">
        <v>49</v>
      </c>
      <c r="M29" t="s">
        <v>97</v>
      </c>
      <c r="N29">
        <v>1</v>
      </c>
      <c r="O29">
        <v>295</v>
      </c>
      <c r="P29">
        <v>540</v>
      </c>
      <c r="Q29">
        <v>245</v>
      </c>
      <c r="R29">
        <f t="shared" si="0"/>
        <v>295</v>
      </c>
      <c r="S29">
        <f t="shared" si="1"/>
        <v>540</v>
      </c>
    </row>
    <row r="30" spans="1:19" ht="15">
      <c r="A30" t="s">
        <v>98</v>
      </c>
      <c r="B30">
        <v>44540</v>
      </c>
      <c r="C30">
        <v>10</v>
      </c>
      <c r="D30" t="s">
        <v>46</v>
      </c>
      <c r="E30">
        <v>2021</v>
      </c>
      <c r="F30">
        <v>34</v>
      </c>
      <c r="G30" t="s">
        <v>17</v>
      </c>
      <c r="H30" t="s">
        <v>13</v>
      </c>
      <c r="I30" t="s">
        <v>3</v>
      </c>
      <c r="J30" t="s">
        <v>63</v>
      </c>
      <c r="K30" t="s">
        <v>48</v>
      </c>
      <c r="L30" t="s">
        <v>49</v>
      </c>
      <c r="M30" t="s">
        <v>99</v>
      </c>
      <c r="N30">
        <v>1</v>
      </c>
      <c r="O30">
        <v>1912</v>
      </c>
      <c r="P30">
        <v>3400</v>
      </c>
      <c r="Q30">
        <v>1488</v>
      </c>
      <c r="R30">
        <f t="shared" si="0"/>
        <v>1912</v>
      </c>
      <c r="S30">
        <f t="shared" si="1"/>
        <v>3400</v>
      </c>
    </row>
    <row r="31" spans="1:19" ht="15">
      <c r="A31" t="s">
        <v>100</v>
      </c>
      <c r="B31">
        <v>44540</v>
      </c>
      <c r="C31">
        <v>10</v>
      </c>
      <c r="D31" t="s">
        <v>46</v>
      </c>
      <c r="E31">
        <v>2021</v>
      </c>
      <c r="F31">
        <v>38</v>
      </c>
      <c r="G31" t="s">
        <v>16</v>
      </c>
      <c r="H31" t="s">
        <v>14</v>
      </c>
      <c r="I31" t="s">
        <v>4</v>
      </c>
      <c r="J31" t="s">
        <v>57</v>
      </c>
      <c r="K31" t="s">
        <v>48</v>
      </c>
      <c r="L31" t="s">
        <v>49</v>
      </c>
      <c r="M31" t="s">
        <v>61</v>
      </c>
      <c r="N31">
        <v>1</v>
      </c>
      <c r="O31">
        <v>1252</v>
      </c>
      <c r="P31">
        <v>2295</v>
      </c>
      <c r="Q31">
        <v>1043</v>
      </c>
      <c r="R31">
        <f t="shared" si="0"/>
        <v>1252</v>
      </c>
      <c r="S31">
        <f t="shared" si="1"/>
        <v>2295</v>
      </c>
    </row>
    <row r="32" spans="1:19" ht="15">
      <c r="A32" t="s">
        <v>101</v>
      </c>
      <c r="B32">
        <v>44541</v>
      </c>
      <c r="C32">
        <v>11</v>
      </c>
      <c r="D32" t="s">
        <v>46</v>
      </c>
      <c r="E32">
        <v>2021</v>
      </c>
      <c r="F32">
        <v>24</v>
      </c>
      <c r="G32" t="s">
        <v>18</v>
      </c>
      <c r="H32" t="s">
        <v>13</v>
      </c>
      <c r="I32" t="s">
        <v>6</v>
      </c>
      <c r="J32" t="s">
        <v>102</v>
      </c>
      <c r="K32" t="s">
        <v>48</v>
      </c>
      <c r="L32" t="s">
        <v>49</v>
      </c>
      <c r="M32" t="s">
        <v>61</v>
      </c>
      <c r="N32">
        <v>3</v>
      </c>
      <c r="O32">
        <v>1252</v>
      </c>
      <c r="P32">
        <v>2295</v>
      </c>
      <c r="Q32">
        <v>3129</v>
      </c>
      <c r="R32">
        <f t="shared" si="0"/>
        <v>3756</v>
      </c>
      <c r="S32">
        <f t="shared" si="1"/>
        <v>6885</v>
      </c>
    </row>
    <row r="33" spans="1:19" ht="15">
      <c r="A33" t="s">
        <v>103</v>
      </c>
      <c r="B33">
        <v>44541</v>
      </c>
      <c r="C33">
        <v>11</v>
      </c>
      <c r="D33" t="s">
        <v>46</v>
      </c>
      <c r="E33">
        <v>2021</v>
      </c>
      <c r="F33">
        <v>41</v>
      </c>
      <c r="G33" t="s">
        <v>16</v>
      </c>
      <c r="H33" t="s">
        <v>13</v>
      </c>
      <c r="I33" t="s">
        <v>4</v>
      </c>
      <c r="J33" t="s">
        <v>57</v>
      </c>
      <c r="K33" t="s">
        <v>48</v>
      </c>
      <c r="L33" t="s">
        <v>49</v>
      </c>
      <c r="M33" t="s">
        <v>79</v>
      </c>
      <c r="N33">
        <v>2</v>
      </c>
      <c r="O33">
        <v>420</v>
      </c>
      <c r="P33">
        <v>769</v>
      </c>
      <c r="Q33">
        <v>698</v>
      </c>
      <c r="R33">
        <f t="shared" si="0"/>
        <v>840</v>
      </c>
      <c r="S33">
        <f t="shared" si="1"/>
        <v>1538</v>
      </c>
    </row>
    <row r="34" spans="1:19" ht="15">
      <c r="A34" t="s">
        <v>104</v>
      </c>
      <c r="B34">
        <v>44541</v>
      </c>
      <c r="C34">
        <v>11</v>
      </c>
      <c r="D34" t="s">
        <v>46</v>
      </c>
      <c r="E34">
        <v>2021</v>
      </c>
      <c r="F34">
        <v>27</v>
      </c>
      <c r="G34" t="s">
        <v>17</v>
      </c>
      <c r="H34" t="s">
        <v>14</v>
      </c>
      <c r="I34" t="s">
        <v>5</v>
      </c>
      <c r="J34" t="s">
        <v>74</v>
      </c>
      <c r="K34" t="s">
        <v>48</v>
      </c>
      <c r="L34" t="s">
        <v>49</v>
      </c>
      <c r="M34" t="s">
        <v>50</v>
      </c>
      <c r="N34">
        <v>1</v>
      </c>
      <c r="O34">
        <v>1252</v>
      </c>
      <c r="P34">
        <v>2295</v>
      </c>
      <c r="Q34">
        <v>1043</v>
      </c>
      <c r="R34">
        <f t="shared" si="0"/>
        <v>1252</v>
      </c>
      <c r="S34">
        <f t="shared" si="1"/>
        <v>2295</v>
      </c>
    </row>
    <row r="35" spans="1:19" ht="15">
      <c r="A35" t="s">
        <v>105</v>
      </c>
      <c r="B35">
        <v>44541</v>
      </c>
      <c r="C35">
        <v>11</v>
      </c>
      <c r="D35" t="s">
        <v>46</v>
      </c>
      <c r="E35">
        <v>2021</v>
      </c>
      <c r="F35">
        <v>37</v>
      </c>
      <c r="G35" t="s">
        <v>16</v>
      </c>
      <c r="H35" t="s">
        <v>14</v>
      </c>
      <c r="I35" t="s">
        <v>3</v>
      </c>
      <c r="J35" t="s">
        <v>47</v>
      </c>
      <c r="K35" t="s">
        <v>48</v>
      </c>
      <c r="L35" t="s">
        <v>49</v>
      </c>
      <c r="M35" t="s">
        <v>55</v>
      </c>
      <c r="N35">
        <v>1</v>
      </c>
      <c r="O35">
        <v>420</v>
      </c>
      <c r="P35">
        <v>769</v>
      </c>
      <c r="Q35">
        <v>349</v>
      </c>
      <c r="R35">
        <f t="shared" si="0"/>
        <v>420</v>
      </c>
      <c r="S35">
        <f t="shared" si="1"/>
        <v>769</v>
      </c>
    </row>
    <row r="36" spans="1:19" ht="15">
      <c r="A36" t="s">
        <v>106</v>
      </c>
      <c r="B36">
        <v>44541</v>
      </c>
      <c r="C36">
        <v>11</v>
      </c>
      <c r="D36" t="s">
        <v>46</v>
      </c>
      <c r="E36">
        <v>2021</v>
      </c>
      <c r="F36">
        <v>38</v>
      </c>
      <c r="G36" t="s">
        <v>16</v>
      </c>
      <c r="H36" t="s">
        <v>13</v>
      </c>
      <c r="I36" t="s">
        <v>3</v>
      </c>
      <c r="J36" t="s">
        <v>47</v>
      </c>
      <c r="K36" t="s">
        <v>48</v>
      </c>
      <c r="L36" t="s">
        <v>49</v>
      </c>
      <c r="M36" t="s">
        <v>70</v>
      </c>
      <c r="N36">
        <v>1</v>
      </c>
      <c r="O36">
        <v>1266</v>
      </c>
      <c r="P36">
        <v>2320</v>
      </c>
      <c r="Q36">
        <v>1054</v>
      </c>
      <c r="R36">
        <f t="shared" si="0"/>
        <v>1266</v>
      </c>
      <c r="S36">
        <f t="shared" si="1"/>
        <v>2320</v>
      </c>
    </row>
    <row r="37" spans="1:19" ht="15">
      <c r="A37" t="s">
        <v>107</v>
      </c>
      <c r="B37">
        <v>44542</v>
      </c>
      <c r="C37">
        <v>12</v>
      </c>
      <c r="D37" t="s">
        <v>46</v>
      </c>
      <c r="E37">
        <v>2021</v>
      </c>
      <c r="F37">
        <v>36</v>
      </c>
      <c r="G37" t="s">
        <v>16</v>
      </c>
      <c r="H37" t="s">
        <v>13</v>
      </c>
      <c r="I37" t="s">
        <v>4</v>
      </c>
      <c r="J37" t="s">
        <v>57</v>
      </c>
      <c r="K37" t="s">
        <v>48</v>
      </c>
      <c r="L37" t="s">
        <v>49</v>
      </c>
      <c r="M37" t="s">
        <v>53</v>
      </c>
      <c r="N37">
        <v>4</v>
      </c>
      <c r="O37">
        <v>1266</v>
      </c>
      <c r="P37">
        <v>2320</v>
      </c>
      <c r="Q37">
        <v>4216</v>
      </c>
      <c r="R37">
        <f t="shared" si="0"/>
        <v>5064</v>
      </c>
      <c r="S37">
        <f t="shared" si="1"/>
        <v>9280</v>
      </c>
    </row>
    <row r="38" spans="1:19" ht="15">
      <c r="A38" t="s">
        <v>108</v>
      </c>
      <c r="B38">
        <v>44542</v>
      </c>
      <c r="C38">
        <v>12</v>
      </c>
      <c r="D38" t="s">
        <v>46</v>
      </c>
      <c r="E38">
        <v>2021</v>
      </c>
      <c r="F38">
        <v>37</v>
      </c>
      <c r="G38" t="s">
        <v>16</v>
      </c>
      <c r="H38" t="s">
        <v>14</v>
      </c>
      <c r="I38" t="s">
        <v>3</v>
      </c>
      <c r="J38" t="s">
        <v>47</v>
      </c>
      <c r="K38" t="s">
        <v>48</v>
      </c>
      <c r="L38" t="s">
        <v>49</v>
      </c>
      <c r="M38" t="s">
        <v>55</v>
      </c>
      <c r="N38">
        <v>4</v>
      </c>
      <c r="O38">
        <v>420</v>
      </c>
      <c r="P38">
        <v>769</v>
      </c>
      <c r="Q38">
        <v>1396</v>
      </c>
      <c r="R38">
        <f t="shared" si="0"/>
        <v>1680</v>
      </c>
      <c r="S38">
        <f t="shared" si="1"/>
        <v>3076</v>
      </c>
    </row>
    <row r="39" spans="1:19" ht="15">
      <c r="A39" t="s">
        <v>109</v>
      </c>
      <c r="B39">
        <v>44542</v>
      </c>
      <c r="C39">
        <v>12</v>
      </c>
      <c r="D39" t="s">
        <v>46</v>
      </c>
      <c r="E39">
        <v>2021</v>
      </c>
      <c r="F39">
        <v>34</v>
      </c>
      <c r="G39" t="s">
        <v>17</v>
      </c>
      <c r="H39" t="s">
        <v>14</v>
      </c>
      <c r="I39" t="s">
        <v>4</v>
      </c>
      <c r="J39" t="s">
        <v>57</v>
      </c>
      <c r="K39" t="s">
        <v>48</v>
      </c>
      <c r="L39" t="s">
        <v>49</v>
      </c>
      <c r="M39" t="s">
        <v>61</v>
      </c>
      <c r="N39">
        <v>2</v>
      </c>
      <c r="O39">
        <v>1252</v>
      </c>
      <c r="P39">
        <v>2295</v>
      </c>
      <c r="Q39">
        <v>2086</v>
      </c>
      <c r="R39">
        <f t="shared" si="0"/>
        <v>2504</v>
      </c>
      <c r="S39">
        <f t="shared" si="1"/>
        <v>4590</v>
      </c>
    </row>
    <row r="40" spans="1:19" ht="15">
      <c r="A40" t="s">
        <v>110</v>
      </c>
      <c r="B40">
        <v>44542</v>
      </c>
      <c r="C40">
        <v>12</v>
      </c>
      <c r="D40" t="s">
        <v>46</v>
      </c>
      <c r="E40">
        <v>2021</v>
      </c>
      <c r="F40">
        <v>35</v>
      </c>
      <c r="G40" t="s">
        <v>16</v>
      </c>
      <c r="H40" t="s">
        <v>13</v>
      </c>
      <c r="I40" t="s">
        <v>4</v>
      </c>
      <c r="J40" t="s">
        <v>89</v>
      </c>
      <c r="K40" t="s">
        <v>48</v>
      </c>
      <c r="L40" t="s">
        <v>49</v>
      </c>
      <c r="M40" t="s">
        <v>53</v>
      </c>
      <c r="N40">
        <v>1</v>
      </c>
      <c r="O40">
        <v>1266</v>
      </c>
      <c r="P40">
        <v>2320</v>
      </c>
      <c r="Q40">
        <v>1054</v>
      </c>
      <c r="R40">
        <f t="shared" si="0"/>
        <v>1266</v>
      </c>
      <c r="S40">
        <f t="shared" si="1"/>
        <v>2320</v>
      </c>
    </row>
    <row r="41" spans="1:19" ht="15">
      <c r="A41" t="s">
        <v>111</v>
      </c>
      <c r="B41">
        <v>44542</v>
      </c>
      <c r="C41">
        <v>12</v>
      </c>
      <c r="D41" t="s">
        <v>46</v>
      </c>
      <c r="E41">
        <v>2021</v>
      </c>
      <c r="F41">
        <v>38</v>
      </c>
      <c r="G41" t="s">
        <v>16</v>
      </c>
      <c r="H41" t="s">
        <v>13</v>
      </c>
      <c r="I41" t="s">
        <v>3</v>
      </c>
      <c r="J41" t="s">
        <v>63</v>
      </c>
      <c r="K41" t="s">
        <v>48</v>
      </c>
      <c r="L41" t="s">
        <v>49</v>
      </c>
      <c r="M41" t="s">
        <v>53</v>
      </c>
      <c r="N41">
        <v>1</v>
      </c>
      <c r="O41">
        <v>1266</v>
      </c>
      <c r="P41">
        <v>2320</v>
      </c>
      <c r="Q41">
        <v>1054</v>
      </c>
      <c r="R41">
        <f t="shared" si="0"/>
        <v>1266</v>
      </c>
      <c r="S41">
        <f t="shared" si="1"/>
        <v>2320</v>
      </c>
    </row>
    <row r="42" spans="1:19" ht="15">
      <c r="A42" t="s">
        <v>112</v>
      </c>
      <c r="B42">
        <v>44543</v>
      </c>
      <c r="C42">
        <v>13</v>
      </c>
      <c r="D42" t="s">
        <v>46</v>
      </c>
      <c r="E42">
        <v>2021</v>
      </c>
      <c r="F42">
        <v>32</v>
      </c>
      <c r="G42" t="s">
        <v>17</v>
      </c>
      <c r="H42" t="s">
        <v>13</v>
      </c>
      <c r="I42" t="s">
        <v>4</v>
      </c>
      <c r="J42" t="s">
        <v>69</v>
      </c>
      <c r="K42" t="s">
        <v>48</v>
      </c>
      <c r="L42" t="s">
        <v>49</v>
      </c>
      <c r="M42" t="s">
        <v>53</v>
      </c>
      <c r="N42">
        <v>3</v>
      </c>
      <c r="O42">
        <v>1266</v>
      </c>
      <c r="P42">
        <v>2320</v>
      </c>
      <c r="Q42">
        <v>3162</v>
      </c>
      <c r="R42">
        <f t="shared" si="0"/>
        <v>3798</v>
      </c>
      <c r="S42">
        <f t="shared" si="1"/>
        <v>6960</v>
      </c>
    </row>
    <row r="43" spans="1:19" ht="15">
      <c r="A43" t="s">
        <v>113</v>
      </c>
      <c r="B43">
        <v>44543</v>
      </c>
      <c r="C43">
        <v>13</v>
      </c>
      <c r="D43" t="s">
        <v>46</v>
      </c>
      <c r="E43">
        <v>2021</v>
      </c>
      <c r="F43">
        <v>40</v>
      </c>
      <c r="G43" t="s">
        <v>16</v>
      </c>
      <c r="H43" t="s">
        <v>13</v>
      </c>
      <c r="I43" t="s">
        <v>3</v>
      </c>
      <c r="J43" t="s">
        <v>47</v>
      </c>
      <c r="K43" t="s">
        <v>48</v>
      </c>
      <c r="L43" t="s">
        <v>49</v>
      </c>
      <c r="M43" t="s">
        <v>114</v>
      </c>
      <c r="N43">
        <v>1</v>
      </c>
      <c r="O43">
        <v>308</v>
      </c>
      <c r="P43">
        <v>565</v>
      </c>
      <c r="Q43">
        <v>257</v>
      </c>
      <c r="R43">
        <f t="shared" si="0"/>
        <v>308</v>
      </c>
      <c r="S43">
        <f t="shared" si="1"/>
        <v>565</v>
      </c>
    </row>
    <row r="44" spans="1:19" ht="15">
      <c r="A44" t="s">
        <v>115</v>
      </c>
      <c r="B44">
        <v>44543</v>
      </c>
      <c r="C44">
        <v>13</v>
      </c>
      <c r="D44" t="s">
        <v>46</v>
      </c>
      <c r="E44">
        <v>2021</v>
      </c>
      <c r="F44">
        <v>44</v>
      </c>
      <c r="G44" t="s">
        <v>16</v>
      </c>
      <c r="H44" t="s">
        <v>13</v>
      </c>
      <c r="I44" t="s">
        <v>9</v>
      </c>
      <c r="J44" t="s">
        <v>52</v>
      </c>
      <c r="K44" t="s">
        <v>48</v>
      </c>
      <c r="L44" t="s">
        <v>49</v>
      </c>
      <c r="M44" t="s">
        <v>61</v>
      </c>
      <c r="N44">
        <v>1</v>
      </c>
      <c r="O44">
        <v>1252</v>
      </c>
      <c r="P44">
        <v>2295</v>
      </c>
      <c r="Q44">
        <v>1043</v>
      </c>
      <c r="R44">
        <f t="shared" si="0"/>
        <v>1252</v>
      </c>
      <c r="S44">
        <f t="shared" si="1"/>
        <v>2295</v>
      </c>
    </row>
    <row r="45" spans="1:19" ht="15">
      <c r="A45" t="s">
        <v>116</v>
      </c>
      <c r="B45">
        <v>44543</v>
      </c>
      <c r="C45">
        <v>13</v>
      </c>
      <c r="D45" t="s">
        <v>46</v>
      </c>
      <c r="E45">
        <v>2021</v>
      </c>
      <c r="F45">
        <v>49</v>
      </c>
      <c r="G45" t="s">
        <v>16</v>
      </c>
      <c r="H45" t="s">
        <v>14</v>
      </c>
      <c r="I45" t="s">
        <v>9</v>
      </c>
      <c r="J45" t="s">
        <v>52</v>
      </c>
      <c r="K45" t="s">
        <v>48</v>
      </c>
      <c r="L45" t="s">
        <v>49</v>
      </c>
      <c r="M45" t="s">
        <v>61</v>
      </c>
      <c r="N45">
        <v>1</v>
      </c>
      <c r="O45">
        <v>1252</v>
      </c>
      <c r="P45">
        <v>2295</v>
      </c>
      <c r="Q45">
        <v>1043</v>
      </c>
      <c r="R45">
        <f t="shared" si="0"/>
        <v>1252</v>
      </c>
      <c r="S45">
        <f t="shared" si="1"/>
        <v>2295</v>
      </c>
    </row>
    <row r="46" spans="1:19" ht="15">
      <c r="A46" t="s">
        <v>117</v>
      </c>
      <c r="B46">
        <v>44544</v>
      </c>
      <c r="C46">
        <v>14</v>
      </c>
      <c r="D46" t="s">
        <v>46</v>
      </c>
      <c r="E46">
        <v>2021</v>
      </c>
      <c r="F46">
        <v>30</v>
      </c>
      <c r="G46" t="s">
        <v>17</v>
      </c>
      <c r="H46" t="s">
        <v>13</v>
      </c>
      <c r="I46" t="s">
        <v>3</v>
      </c>
      <c r="J46" t="s">
        <v>63</v>
      </c>
      <c r="K46" t="s">
        <v>48</v>
      </c>
      <c r="L46" t="s">
        <v>49</v>
      </c>
      <c r="M46" t="s">
        <v>70</v>
      </c>
      <c r="N46">
        <v>2</v>
      </c>
      <c r="O46">
        <v>1266</v>
      </c>
      <c r="P46">
        <v>2320</v>
      </c>
      <c r="Q46">
        <v>2108</v>
      </c>
      <c r="R46">
        <f t="shared" si="0"/>
        <v>2532</v>
      </c>
      <c r="S46">
        <f t="shared" si="1"/>
        <v>4640</v>
      </c>
    </row>
    <row r="47" spans="1:19" ht="15">
      <c r="A47" t="s">
        <v>118</v>
      </c>
      <c r="B47">
        <v>44544</v>
      </c>
      <c r="C47">
        <v>14</v>
      </c>
      <c r="D47" t="s">
        <v>46</v>
      </c>
      <c r="E47">
        <v>2021</v>
      </c>
      <c r="F47">
        <v>32</v>
      </c>
      <c r="G47" t="s">
        <v>17</v>
      </c>
      <c r="H47" t="s">
        <v>14</v>
      </c>
      <c r="I47" t="s">
        <v>3</v>
      </c>
      <c r="J47" t="s">
        <v>47</v>
      </c>
      <c r="K47" t="s">
        <v>48</v>
      </c>
      <c r="L47" t="s">
        <v>49</v>
      </c>
      <c r="M47" t="s">
        <v>50</v>
      </c>
      <c r="N47">
        <v>1</v>
      </c>
      <c r="O47">
        <v>1252</v>
      </c>
      <c r="P47">
        <v>2295</v>
      </c>
      <c r="Q47">
        <v>1043</v>
      </c>
      <c r="R47">
        <f t="shared" si="0"/>
        <v>1252</v>
      </c>
      <c r="S47">
        <f t="shared" si="1"/>
        <v>2295</v>
      </c>
    </row>
    <row r="48" spans="1:19" ht="15">
      <c r="A48" t="s">
        <v>119</v>
      </c>
      <c r="B48">
        <v>44544</v>
      </c>
      <c r="C48">
        <v>14</v>
      </c>
      <c r="D48" t="s">
        <v>46</v>
      </c>
      <c r="E48">
        <v>2021</v>
      </c>
      <c r="F48">
        <v>32</v>
      </c>
      <c r="G48" t="s">
        <v>17</v>
      </c>
      <c r="H48" t="s">
        <v>13</v>
      </c>
      <c r="I48" t="s">
        <v>4</v>
      </c>
      <c r="J48" t="s">
        <v>89</v>
      </c>
      <c r="K48" t="s">
        <v>48</v>
      </c>
      <c r="L48" t="s">
        <v>49</v>
      </c>
      <c r="M48" t="s">
        <v>55</v>
      </c>
      <c r="N48">
        <v>1</v>
      </c>
      <c r="O48">
        <v>420</v>
      </c>
      <c r="P48">
        <v>769</v>
      </c>
      <c r="Q48">
        <v>349</v>
      </c>
      <c r="R48">
        <f t="shared" si="0"/>
        <v>420</v>
      </c>
      <c r="S48">
        <f t="shared" si="1"/>
        <v>769</v>
      </c>
    </row>
    <row r="49" spans="1:19" ht="15">
      <c r="A49" t="s">
        <v>120</v>
      </c>
      <c r="B49">
        <v>44545</v>
      </c>
      <c r="C49">
        <v>15</v>
      </c>
      <c r="D49" t="s">
        <v>46</v>
      </c>
      <c r="E49">
        <v>2021</v>
      </c>
      <c r="F49">
        <v>29</v>
      </c>
      <c r="G49" t="s">
        <v>17</v>
      </c>
      <c r="H49" t="s">
        <v>13</v>
      </c>
      <c r="I49" t="s">
        <v>3</v>
      </c>
      <c r="J49" t="s">
        <v>47</v>
      </c>
      <c r="K49" t="s">
        <v>48</v>
      </c>
      <c r="L49" t="s">
        <v>49</v>
      </c>
      <c r="M49" t="s">
        <v>53</v>
      </c>
      <c r="N49">
        <v>1</v>
      </c>
      <c r="O49">
        <v>1266</v>
      </c>
      <c r="P49">
        <v>2320</v>
      </c>
      <c r="Q49">
        <v>1054</v>
      </c>
      <c r="R49">
        <f t="shared" si="0"/>
        <v>1266</v>
      </c>
      <c r="S49">
        <f t="shared" si="1"/>
        <v>2320</v>
      </c>
    </row>
    <row r="50" spans="1:19" ht="15">
      <c r="A50" t="s">
        <v>121</v>
      </c>
      <c r="B50">
        <v>44546</v>
      </c>
      <c r="C50">
        <v>16</v>
      </c>
      <c r="D50" t="s">
        <v>46</v>
      </c>
      <c r="E50">
        <v>2021</v>
      </c>
      <c r="F50">
        <v>33</v>
      </c>
      <c r="G50" t="s">
        <v>17</v>
      </c>
      <c r="H50" t="s">
        <v>13</v>
      </c>
      <c r="I50" t="s">
        <v>4</v>
      </c>
      <c r="J50" t="s">
        <v>57</v>
      </c>
      <c r="K50" t="s">
        <v>48</v>
      </c>
      <c r="L50" t="s">
        <v>49</v>
      </c>
      <c r="M50" t="s">
        <v>61</v>
      </c>
      <c r="N50">
        <v>2</v>
      </c>
      <c r="O50">
        <v>1252</v>
      </c>
      <c r="P50">
        <v>2295</v>
      </c>
      <c r="Q50">
        <v>2086</v>
      </c>
      <c r="R50">
        <f t="shared" si="0"/>
        <v>2504</v>
      </c>
      <c r="S50">
        <f t="shared" si="1"/>
        <v>4590</v>
      </c>
    </row>
    <row r="51" spans="1:19" ht="15">
      <c r="A51" t="s">
        <v>122</v>
      </c>
      <c r="B51">
        <v>44546</v>
      </c>
      <c r="C51">
        <v>16</v>
      </c>
      <c r="D51" t="s">
        <v>46</v>
      </c>
      <c r="E51">
        <v>2021</v>
      </c>
      <c r="F51">
        <v>38</v>
      </c>
      <c r="G51" t="s">
        <v>16</v>
      </c>
      <c r="H51" t="s">
        <v>14</v>
      </c>
      <c r="I51" t="s">
        <v>4</v>
      </c>
      <c r="J51" t="s">
        <v>57</v>
      </c>
      <c r="K51" t="s">
        <v>48</v>
      </c>
      <c r="L51" t="s">
        <v>49</v>
      </c>
      <c r="M51" t="s">
        <v>61</v>
      </c>
      <c r="N51">
        <v>2</v>
      </c>
      <c r="O51">
        <v>1252</v>
      </c>
      <c r="P51">
        <v>2295</v>
      </c>
      <c r="Q51">
        <v>2086</v>
      </c>
      <c r="R51">
        <f t="shared" si="0"/>
        <v>2504</v>
      </c>
      <c r="S51">
        <f t="shared" si="1"/>
        <v>4590</v>
      </c>
    </row>
    <row r="52" spans="1:19" ht="15">
      <c r="A52" t="s">
        <v>123</v>
      </c>
      <c r="B52">
        <v>44546</v>
      </c>
      <c r="C52">
        <v>16</v>
      </c>
      <c r="D52" t="s">
        <v>46</v>
      </c>
      <c r="E52">
        <v>2021</v>
      </c>
      <c r="F52">
        <v>27</v>
      </c>
      <c r="G52" t="s">
        <v>17</v>
      </c>
      <c r="H52" t="s">
        <v>13</v>
      </c>
      <c r="I52" t="s">
        <v>6</v>
      </c>
      <c r="J52" t="s">
        <v>124</v>
      </c>
      <c r="K52" t="s">
        <v>48</v>
      </c>
      <c r="L52" t="s">
        <v>49</v>
      </c>
      <c r="M52" t="s">
        <v>125</v>
      </c>
      <c r="N52">
        <v>1</v>
      </c>
      <c r="O52">
        <v>1266</v>
      </c>
      <c r="P52">
        <v>2320</v>
      </c>
      <c r="Q52">
        <v>1054</v>
      </c>
      <c r="R52">
        <f t="shared" si="0"/>
        <v>1266</v>
      </c>
      <c r="S52">
        <f t="shared" si="1"/>
        <v>2320</v>
      </c>
    </row>
    <row r="53" spans="1:19" ht="15">
      <c r="A53" t="s">
        <v>126</v>
      </c>
      <c r="B53">
        <v>44547</v>
      </c>
      <c r="C53">
        <v>17</v>
      </c>
      <c r="D53" t="s">
        <v>46</v>
      </c>
      <c r="E53">
        <v>2021</v>
      </c>
      <c r="F53">
        <v>37</v>
      </c>
      <c r="G53" t="s">
        <v>16</v>
      </c>
      <c r="H53" t="s">
        <v>13</v>
      </c>
      <c r="I53" t="s">
        <v>3</v>
      </c>
      <c r="J53" t="s">
        <v>63</v>
      </c>
      <c r="K53" t="s">
        <v>48</v>
      </c>
      <c r="L53" t="s">
        <v>49</v>
      </c>
      <c r="M53" t="s">
        <v>70</v>
      </c>
      <c r="N53">
        <v>2</v>
      </c>
      <c r="O53">
        <v>1266</v>
      </c>
      <c r="P53">
        <v>2320</v>
      </c>
      <c r="Q53">
        <v>2108</v>
      </c>
      <c r="R53">
        <f t="shared" si="0"/>
        <v>2532</v>
      </c>
      <c r="S53">
        <f t="shared" si="1"/>
        <v>4640</v>
      </c>
    </row>
    <row r="54" spans="1:19" ht="15">
      <c r="A54" t="s">
        <v>127</v>
      </c>
      <c r="B54">
        <v>44547</v>
      </c>
      <c r="C54">
        <v>17</v>
      </c>
      <c r="D54" t="s">
        <v>46</v>
      </c>
      <c r="E54">
        <v>2021</v>
      </c>
      <c r="F54">
        <v>31</v>
      </c>
      <c r="G54" t="s">
        <v>17</v>
      </c>
      <c r="H54" t="s">
        <v>14</v>
      </c>
      <c r="I54" t="s">
        <v>4</v>
      </c>
      <c r="J54" t="s">
        <v>57</v>
      </c>
      <c r="K54" t="s">
        <v>48</v>
      </c>
      <c r="L54" t="s">
        <v>49</v>
      </c>
      <c r="M54" t="s">
        <v>58</v>
      </c>
      <c r="N54">
        <v>1</v>
      </c>
      <c r="O54">
        <v>420</v>
      </c>
      <c r="P54">
        <v>769</v>
      </c>
      <c r="Q54">
        <v>349</v>
      </c>
      <c r="R54">
        <f t="shared" si="0"/>
        <v>420</v>
      </c>
      <c r="S54">
        <f t="shared" si="1"/>
        <v>769</v>
      </c>
    </row>
    <row r="55" spans="1:19" ht="15">
      <c r="A55" t="s">
        <v>128</v>
      </c>
      <c r="B55">
        <v>44547</v>
      </c>
      <c r="C55">
        <v>17</v>
      </c>
      <c r="D55" t="s">
        <v>46</v>
      </c>
      <c r="E55">
        <v>2021</v>
      </c>
      <c r="F55">
        <v>42</v>
      </c>
      <c r="G55" t="s">
        <v>16</v>
      </c>
      <c r="H55" t="s">
        <v>13</v>
      </c>
      <c r="I55" t="s">
        <v>7</v>
      </c>
      <c r="J55" t="s">
        <v>67</v>
      </c>
      <c r="K55" t="s">
        <v>48</v>
      </c>
      <c r="L55" t="s">
        <v>49</v>
      </c>
      <c r="M55" t="s">
        <v>125</v>
      </c>
      <c r="N55">
        <v>1</v>
      </c>
      <c r="O55">
        <v>1266</v>
      </c>
      <c r="P55">
        <v>2320</v>
      </c>
      <c r="Q55">
        <v>1054</v>
      </c>
      <c r="R55">
        <f t="shared" si="0"/>
        <v>1266</v>
      </c>
      <c r="S55">
        <f t="shared" si="1"/>
        <v>2320</v>
      </c>
    </row>
    <row r="56" spans="1:19" ht="15">
      <c r="A56" t="s">
        <v>129</v>
      </c>
      <c r="B56">
        <v>44548</v>
      </c>
      <c r="C56">
        <v>18</v>
      </c>
      <c r="D56" t="s">
        <v>46</v>
      </c>
      <c r="E56">
        <v>2021</v>
      </c>
      <c r="F56">
        <v>35</v>
      </c>
      <c r="G56" t="s">
        <v>16</v>
      </c>
      <c r="H56" t="s">
        <v>13</v>
      </c>
      <c r="I56" t="s">
        <v>4</v>
      </c>
      <c r="J56" t="s">
        <v>57</v>
      </c>
      <c r="K56" t="s">
        <v>48</v>
      </c>
      <c r="L56" t="s">
        <v>49</v>
      </c>
      <c r="M56" t="s">
        <v>82</v>
      </c>
      <c r="N56">
        <v>4</v>
      </c>
      <c r="O56">
        <v>308</v>
      </c>
      <c r="P56">
        <v>565</v>
      </c>
      <c r="Q56">
        <v>1028</v>
      </c>
      <c r="R56">
        <f t="shared" si="0"/>
        <v>1232</v>
      </c>
      <c r="S56">
        <f t="shared" si="1"/>
        <v>2260</v>
      </c>
    </row>
    <row r="57" spans="1:19" ht="15">
      <c r="A57" t="s">
        <v>130</v>
      </c>
      <c r="B57">
        <v>44548</v>
      </c>
      <c r="C57">
        <v>18</v>
      </c>
      <c r="D57" t="s">
        <v>46</v>
      </c>
      <c r="E57">
        <v>2021</v>
      </c>
      <c r="F57">
        <v>38</v>
      </c>
      <c r="G57" t="s">
        <v>16</v>
      </c>
      <c r="H57" t="s">
        <v>13</v>
      </c>
      <c r="I57" t="s">
        <v>7</v>
      </c>
      <c r="J57" t="s">
        <v>67</v>
      </c>
      <c r="K57" t="s">
        <v>48</v>
      </c>
      <c r="L57" t="s">
        <v>49</v>
      </c>
      <c r="M57" t="s">
        <v>125</v>
      </c>
      <c r="N57">
        <v>4</v>
      </c>
      <c r="O57">
        <v>1266</v>
      </c>
      <c r="P57">
        <v>2320</v>
      </c>
      <c r="Q57">
        <v>4216</v>
      </c>
      <c r="R57">
        <f t="shared" si="0"/>
        <v>5064</v>
      </c>
      <c r="S57">
        <f t="shared" si="1"/>
        <v>9280</v>
      </c>
    </row>
    <row r="58" spans="1:19" ht="15">
      <c r="A58" t="s">
        <v>131</v>
      </c>
      <c r="B58">
        <v>44548</v>
      </c>
      <c r="C58">
        <v>18</v>
      </c>
      <c r="D58" t="s">
        <v>46</v>
      </c>
      <c r="E58">
        <v>2021</v>
      </c>
      <c r="F58">
        <v>24</v>
      </c>
      <c r="G58" t="s">
        <v>18</v>
      </c>
      <c r="H58" t="s">
        <v>13</v>
      </c>
      <c r="I58" t="s">
        <v>6</v>
      </c>
      <c r="J58" t="s">
        <v>132</v>
      </c>
      <c r="K58" t="s">
        <v>48</v>
      </c>
      <c r="L58" t="s">
        <v>49</v>
      </c>
      <c r="M58" t="s">
        <v>70</v>
      </c>
      <c r="N58">
        <v>3</v>
      </c>
      <c r="O58">
        <v>1266</v>
      </c>
      <c r="P58">
        <v>2320</v>
      </c>
      <c r="Q58">
        <v>3162</v>
      </c>
      <c r="R58">
        <f t="shared" si="0"/>
        <v>3798</v>
      </c>
      <c r="S58">
        <f t="shared" si="1"/>
        <v>6960</v>
      </c>
    </row>
    <row r="59" spans="1:19" ht="15">
      <c r="A59" t="s">
        <v>133</v>
      </c>
      <c r="B59">
        <v>44548</v>
      </c>
      <c r="C59">
        <v>18</v>
      </c>
      <c r="D59" t="s">
        <v>46</v>
      </c>
      <c r="E59">
        <v>2021</v>
      </c>
      <c r="F59">
        <v>26</v>
      </c>
      <c r="G59" t="s">
        <v>17</v>
      </c>
      <c r="H59" t="s">
        <v>13</v>
      </c>
      <c r="I59" t="s">
        <v>9</v>
      </c>
      <c r="J59" t="s">
        <v>52</v>
      </c>
      <c r="K59" t="s">
        <v>48</v>
      </c>
      <c r="L59" t="s">
        <v>49</v>
      </c>
      <c r="M59" t="s">
        <v>58</v>
      </c>
      <c r="N59">
        <v>3</v>
      </c>
      <c r="O59">
        <v>420</v>
      </c>
      <c r="P59">
        <v>769</v>
      </c>
      <c r="Q59">
        <v>1047</v>
      </c>
      <c r="R59">
        <f t="shared" si="0"/>
        <v>1260</v>
      </c>
      <c r="S59">
        <f t="shared" si="1"/>
        <v>2307</v>
      </c>
    </row>
    <row r="60" spans="1:19" ht="15">
      <c r="A60" t="s">
        <v>134</v>
      </c>
      <c r="B60">
        <v>44548</v>
      </c>
      <c r="C60">
        <v>18</v>
      </c>
      <c r="D60" t="s">
        <v>46</v>
      </c>
      <c r="E60">
        <v>2021</v>
      </c>
      <c r="F60">
        <v>39</v>
      </c>
      <c r="G60" t="s">
        <v>16</v>
      </c>
      <c r="H60" t="s">
        <v>14</v>
      </c>
      <c r="I60" t="s">
        <v>3</v>
      </c>
      <c r="J60" t="s">
        <v>47</v>
      </c>
      <c r="K60" t="s">
        <v>48</v>
      </c>
      <c r="L60" t="s">
        <v>49</v>
      </c>
      <c r="M60" t="s">
        <v>76</v>
      </c>
      <c r="N60">
        <v>3</v>
      </c>
      <c r="O60">
        <v>1252</v>
      </c>
      <c r="P60">
        <v>2295</v>
      </c>
      <c r="Q60">
        <v>3129</v>
      </c>
      <c r="R60">
        <f t="shared" si="0"/>
        <v>3756</v>
      </c>
      <c r="S60">
        <f t="shared" si="1"/>
        <v>6885</v>
      </c>
    </row>
    <row r="61" spans="1:19" ht="15">
      <c r="A61" t="s">
        <v>135</v>
      </c>
      <c r="B61">
        <v>44548</v>
      </c>
      <c r="C61">
        <v>18</v>
      </c>
      <c r="D61" t="s">
        <v>46</v>
      </c>
      <c r="E61">
        <v>2021</v>
      </c>
      <c r="F61">
        <v>26</v>
      </c>
      <c r="G61" t="s">
        <v>17</v>
      </c>
      <c r="H61" t="s">
        <v>14</v>
      </c>
      <c r="I61" t="s">
        <v>6</v>
      </c>
      <c r="J61" t="s">
        <v>102</v>
      </c>
      <c r="K61" t="s">
        <v>48</v>
      </c>
      <c r="L61" t="s">
        <v>49</v>
      </c>
      <c r="M61" t="s">
        <v>50</v>
      </c>
      <c r="N61">
        <v>1</v>
      </c>
      <c r="O61">
        <v>1252</v>
      </c>
      <c r="P61">
        <v>2295</v>
      </c>
      <c r="Q61">
        <v>1043</v>
      </c>
      <c r="R61">
        <f t="shared" si="0"/>
        <v>1252</v>
      </c>
      <c r="S61">
        <f t="shared" si="1"/>
        <v>2295</v>
      </c>
    </row>
    <row r="62" spans="1:19" ht="15">
      <c r="A62" t="s">
        <v>136</v>
      </c>
      <c r="B62">
        <v>44548</v>
      </c>
      <c r="C62">
        <v>18</v>
      </c>
      <c r="D62" t="s">
        <v>46</v>
      </c>
      <c r="E62">
        <v>2021</v>
      </c>
      <c r="F62">
        <v>36</v>
      </c>
      <c r="G62" t="s">
        <v>16</v>
      </c>
      <c r="H62" t="s">
        <v>14</v>
      </c>
      <c r="I62" t="s">
        <v>3</v>
      </c>
      <c r="J62" t="s">
        <v>63</v>
      </c>
      <c r="K62" t="s">
        <v>48</v>
      </c>
      <c r="L62" t="s">
        <v>49</v>
      </c>
      <c r="M62" t="s">
        <v>70</v>
      </c>
      <c r="N62">
        <v>1</v>
      </c>
      <c r="O62">
        <v>1266</v>
      </c>
      <c r="P62">
        <v>2320</v>
      </c>
      <c r="Q62">
        <v>1054</v>
      </c>
      <c r="R62">
        <f t="shared" si="0"/>
        <v>1266</v>
      </c>
      <c r="S62">
        <f t="shared" si="1"/>
        <v>2320</v>
      </c>
    </row>
    <row r="63" spans="1:19" ht="15">
      <c r="A63" t="s">
        <v>137</v>
      </c>
      <c r="B63">
        <v>44549</v>
      </c>
      <c r="C63">
        <v>19</v>
      </c>
      <c r="D63" t="s">
        <v>46</v>
      </c>
      <c r="E63">
        <v>2021</v>
      </c>
      <c r="F63">
        <v>17</v>
      </c>
      <c r="G63" t="s">
        <v>18</v>
      </c>
      <c r="H63" t="s">
        <v>14</v>
      </c>
      <c r="I63" t="s">
        <v>6</v>
      </c>
      <c r="J63" t="s">
        <v>138</v>
      </c>
      <c r="K63" t="s">
        <v>48</v>
      </c>
      <c r="L63" t="s">
        <v>49</v>
      </c>
      <c r="M63" t="s">
        <v>125</v>
      </c>
      <c r="N63">
        <v>4</v>
      </c>
      <c r="O63">
        <v>1266</v>
      </c>
      <c r="P63">
        <v>2320</v>
      </c>
      <c r="Q63">
        <v>4216</v>
      </c>
      <c r="R63">
        <f t="shared" si="0"/>
        <v>5064</v>
      </c>
      <c r="S63">
        <f t="shared" si="1"/>
        <v>9280</v>
      </c>
    </row>
    <row r="64" spans="1:19" ht="15">
      <c r="A64" t="s">
        <v>139</v>
      </c>
      <c r="B64">
        <v>44549</v>
      </c>
      <c r="C64">
        <v>19</v>
      </c>
      <c r="D64" t="s">
        <v>46</v>
      </c>
      <c r="E64">
        <v>2021</v>
      </c>
      <c r="F64">
        <v>19</v>
      </c>
      <c r="G64" t="s">
        <v>18</v>
      </c>
      <c r="H64" t="s">
        <v>13</v>
      </c>
      <c r="I64" t="s">
        <v>4</v>
      </c>
      <c r="J64" t="s">
        <v>89</v>
      </c>
      <c r="K64" t="s">
        <v>48</v>
      </c>
      <c r="L64" t="s">
        <v>49</v>
      </c>
      <c r="M64" t="s">
        <v>140</v>
      </c>
      <c r="N64">
        <v>4</v>
      </c>
      <c r="O64">
        <v>295</v>
      </c>
      <c r="P64">
        <v>540</v>
      </c>
      <c r="Q64">
        <v>980</v>
      </c>
      <c r="R64">
        <f t="shared" si="0"/>
        <v>1180</v>
      </c>
      <c r="S64">
        <f t="shared" si="1"/>
        <v>2160</v>
      </c>
    </row>
    <row r="65" spans="1:19" ht="15">
      <c r="A65" t="s">
        <v>141</v>
      </c>
      <c r="B65">
        <v>44549</v>
      </c>
      <c r="C65">
        <v>19</v>
      </c>
      <c r="D65" t="s">
        <v>46</v>
      </c>
      <c r="E65">
        <v>2021</v>
      </c>
      <c r="F65">
        <v>25</v>
      </c>
      <c r="G65" t="s">
        <v>17</v>
      </c>
      <c r="H65" t="s">
        <v>14</v>
      </c>
      <c r="I65" t="s">
        <v>6</v>
      </c>
      <c r="J65" t="s">
        <v>102</v>
      </c>
      <c r="K65" t="s">
        <v>48</v>
      </c>
      <c r="L65" t="s">
        <v>49</v>
      </c>
      <c r="M65" t="s">
        <v>61</v>
      </c>
      <c r="N65">
        <v>4</v>
      </c>
      <c r="O65">
        <v>1252</v>
      </c>
      <c r="P65">
        <v>2295</v>
      </c>
      <c r="Q65">
        <v>4172</v>
      </c>
      <c r="R65">
        <f t="shared" si="0"/>
        <v>5008</v>
      </c>
      <c r="S65">
        <f t="shared" si="1"/>
        <v>9180</v>
      </c>
    </row>
    <row r="66" spans="1:19" ht="15">
      <c r="A66" t="s">
        <v>142</v>
      </c>
      <c r="B66">
        <v>44549</v>
      </c>
      <c r="C66">
        <v>19</v>
      </c>
      <c r="D66" t="s">
        <v>46</v>
      </c>
      <c r="E66">
        <v>2021</v>
      </c>
      <c r="F66">
        <v>35</v>
      </c>
      <c r="G66" t="s">
        <v>16</v>
      </c>
      <c r="H66" t="s">
        <v>13</v>
      </c>
      <c r="I66" t="s">
        <v>3</v>
      </c>
      <c r="J66" t="s">
        <v>85</v>
      </c>
      <c r="K66" t="s">
        <v>48</v>
      </c>
      <c r="L66" t="s">
        <v>49</v>
      </c>
      <c r="M66" t="s">
        <v>143</v>
      </c>
      <c r="N66">
        <v>4</v>
      </c>
      <c r="O66">
        <v>1898</v>
      </c>
      <c r="P66">
        <v>3375</v>
      </c>
      <c r="Q66">
        <v>5908</v>
      </c>
      <c r="R66">
        <f t="shared" si="0"/>
        <v>7592</v>
      </c>
      <c r="S66">
        <f t="shared" si="1"/>
        <v>13500</v>
      </c>
    </row>
    <row r="67" spans="1:19" ht="15">
      <c r="A67" t="s">
        <v>144</v>
      </c>
      <c r="B67">
        <v>44549</v>
      </c>
      <c r="C67">
        <v>19</v>
      </c>
      <c r="D67" t="s">
        <v>46</v>
      </c>
      <c r="E67">
        <v>2021</v>
      </c>
      <c r="F67">
        <v>37</v>
      </c>
      <c r="G67" t="s">
        <v>16</v>
      </c>
      <c r="H67" t="s">
        <v>14</v>
      </c>
      <c r="I67" t="s">
        <v>3</v>
      </c>
      <c r="J67" t="s">
        <v>85</v>
      </c>
      <c r="K67" t="s">
        <v>48</v>
      </c>
      <c r="L67" t="s">
        <v>49</v>
      </c>
      <c r="M67" t="s">
        <v>61</v>
      </c>
      <c r="N67">
        <v>4</v>
      </c>
      <c r="O67">
        <v>1252</v>
      </c>
      <c r="P67">
        <v>2295</v>
      </c>
      <c r="Q67">
        <v>4172</v>
      </c>
      <c r="R67">
        <f t="shared" ref="R67:R89" si="2">N67*O67</f>
        <v>5008</v>
      </c>
      <c r="S67">
        <f t="shared" ref="S67:S89" si="3">N67*P67</f>
        <v>9180</v>
      </c>
    </row>
    <row r="68" spans="1:19" ht="15">
      <c r="A68" t="s">
        <v>145</v>
      </c>
      <c r="B68">
        <v>44549</v>
      </c>
      <c r="C68">
        <v>19</v>
      </c>
      <c r="D68" t="s">
        <v>46</v>
      </c>
      <c r="E68">
        <v>2021</v>
      </c>
      <c r="F68">
        <v>39</v>
      </c>
      <c r="G68" t="s">
        <v>16</v>
      </c>
      <c r="H68" t="s">
        <v>13</v>
      </c>
      <c r="I68" t="s">
        <v>3</v>
      </c>
      <c r="J68" t="s">
        <v>47</v>
      </c>
      <c r="K68" t="s">
        <v>48</v>
      </c>
      <c r="L68" t="s">
        <v>49</v>
      </c>
      <c r="M68" t="s">
        <v>50</v>
      </c>
      <c r="N68">
        <v>4</v>
      </c>
      <c r="O68">
        <v>1252</v>
      </c>
      <c r="P68">
        <v>2295</v>
      </c>
      <c r="Q68">
        <v>4172</v>
      </c>
      <c r="R68">
        <f t="shared" si="2"/>
        <v>5008</v>
      </c>
      <c r="S68">
        <f t="shared" si="3"/>
        <v>9180</v>
      </c>
    </row>
    <row r="69" spans="1:19" ht="15">
      <c r="A69" t="s">
        <v>146</v>
      </c>
      <c r="B69">
        <v>44549</v>
      </c>
      <c r="C69">
        <v>19</v>
      </c>
      <c r="D69" t="s">
        <v>46</v>
      </c>
      <c r="E69">
        <v>2021</v>
      </c>
      <c r="F69">
        <v>63</v>
      </c>
      <c r="G69" t="s">
        <v>16</v>
      </c>
      <c r="H69" t="s">
        <v>13</v>
      </c>
      <c r="I69" t="s">
        <v>4</v>
      </c>
      <c r="J69" t="s">
        <v>69</v>
      </c>
      <c r="K69" t="s">
        <v>48</v>
      </c>
      <c r="L69" t="s">
        <v>49</v>
      </c>
      <c r="M69" t="s">
        <v>50</v>
      </c>
      <c r="N69">
        <v>4</v>
      </c>
      <c r="O69">
        <v>1252</v>
      </c>
      <c r="P69">
        <v>2295</v>
      </c>
      <c r="Q69">
        <v>4172</v>
      </c>
      <c r="R69">
        <f t="shared" si="2"/>
        <v>5008</v>
      </c>
      <c r="S69">
        <f t="shared" si="3"/>
        <v>9180</v>
      </c>
    </row>
    <row r="70" spans="1:19" ht="15">
      <c r="A70" t="s">
        <v>147</v>
      </c>
      <c r="B70">
        <v>44549</v>
      </c>
      <c r="C70">
        <v>19</v>
      </c>
      <c r="D70" t="s">
        <v>46</v>
      </c>
      <c r="E70">
        <v>2021</v>
      </c>
      <c r="F70">
        <v>18</v>
      </c>
      <c r="G70" t="s">
        <v>18</v>
      </c>
      <c r="H70" t="s">
        <v>14</v>
      </c>
      <c r="I70" t="s">
        <v>4</v>
      </c>
      <c r="J70" t="s">
        <v>148</v>
      </c>
      <c r="K70" t="s">
        <v>48</v>
      </c>
      <c r="L70" t="s">
        <v>49</v>
      </c>
      <c r="M70" t="s">
        <v>97</v>
      </c>
      <c r="N70">
        <v>2</v>
      </c>
      <c r="O70">
        <v>295</v>
      </c>
      <c r="P70">
        <v>540</v>
      </c>
      <c r="Q70">
        <v>490</v>
      </c>
      <c r="R70">
        <f t="shared" si="2"/>
        <v>590</v>
      </c>
      <c r="S70">
        <f t="shared" si="3"/>
        <v>1080</v>
      </c>
    </row>
    <row r="71" spans="1:19" ht="15">
      <c r="A71" t="s">
        <v>149</v>
      </c>
      <c r="B71">
        <v>44549</v>
      </c>
      <c r="C71">
        <v>19</v>
      </c>
      <c r="D71" t="s">
        <v>46</v>
      </c>
      <c r="E71">
        <v>2021</v>
      </c>
      <c r="F71">
        <v>56</v>
      </c>
      <c r="G71" t="s">
        <v>16</v>
      </c>
      <c r="H71" t="s">
        <v>13</v>
      </c>
      <c r="I71" t="s">
        <v>7</v>
      </c>
      <c r="J71" t="s">
        <v>150</v>
      </c>
      <c r="K71" t="s">
        <v>48</v>
      </c>
      <c r="L71" t="s">
        <v>49</v>
      </c>
      <c r="M71" t="s">
        <v>50</v>
      </c>
      <c r="N71">
        <v>2</v>
      </c>
      <c r="O71">
        <v>1252</v>
      </c>
      <c r="P71">
        <v>2295</v>
      </c>
      <c r="Q71">
        <v>2086</v>
      </c>
      <c r="R71">
        <f t="shared" si="2"/>
        <v>2504</v>
      </c>
      <c r="S71">
        <f t="shared" si="3"/>
        <v>4590</v>
      </c>
    </row>
    <row r="72" spans="1:19" ht="15">
      <c r="A72" t="s">
        <v>151</v>
      </c>
      <c r="B72">
        <v>44549</v>
      </c>
      <c r="C72">
        <v>19</v>
      </c>
      <c r="D72" t="s">
        <v>46</v>
      </c>
      <c r="E72">
        <v>2021</v>
      </c>
      <c r="F72">
        <v>39</v>
      </c>
      <c r="G72" t="s">
        <v>16</v>
      </c>
      <c r="H72" t="s">
        <v>13</v>
      </c>
      <c r="I72" t="s">
        <v>3</v>
      </c>
      <c r="J72" t="s">
        <v>63</v>
      </c>
      <c r="K72" t="s">
        <v>48</v>
      </c>
      <c r="L72" t="s">
        <v>49</v>
      </c>
      <c r="M72" t="s">
        <v>70</v>
      </c>
      <c r="N72">
        <v>1</v>
      </c>
      <c r="O72">
        <v>1266</v>
      </c>
      <c r="P72">
        <v>2320</v>
      </c>
      <c r="Q72">
        <v>1054</v>
      </c>
      <c r="R72">
        <f t="shared" si="2"/>
        <v>1266</v>
      </c>
      <c r="S72">
        <f t="shared" si="3"/>
        <v>2320</v>
      </c>
    </row>
    <row r="73" spans="1:19" ht="15">
      <c r="A73" t="s">
        <v>152</v>
      </c>
      <c r="B73">
        <v>44550</v>
      </c>
      <c r="C73">
        <v>20</v>
      </c>
      <c r="D73" t="s">
        <v>46</v>
      </c>
      <c r="E73">
        <v>2021</v>
      </c>
      <c r="F73">
        <v>33</v>
      </c>
      <c r="G73" t="s">
        <v>17</v>
      </c>
      <c r="H73" t="s">
        <v>13</v>
      </c>
      <c r="I73" t="s">
        <v>4</v>
      </c>
      <c r="J73" t="s">
        <v>89</v>
      </c>
      <c r="K73" t="s">
        <v>48</v>
      </c>
      <c r="L73" t="s">
        <v>49</v>
      </c>
      <c r="M73" t="s">
        <v>90</v>
      </c>
      <c r="N73">
        <v>4</v>
      </c>
      <c r="O73">
        <v>1898</v>
      </c>
      <c r="P73">
        <v>3375</v>
      </c>
      <c r="Q73">
        <v>5908</v>
      </c>
      <c r="R73">
        <f t="shared" si="2"/>
        <v>7592</v>
      </c>
      <c r="S73">
        <f t="shared" si="3"/>
        <v>13500</v>
      </c>
    </row>
    <row r="74" spans="1:19" ht="15">
      <c r="A74" t="s">
        <v>153</v>
      </c>
      <c r="B74">
        <v>44550</v>
      </c>
      <c r="C74">
        <v>20</v>
      </c>
      <c r="D74" t="s">
        <v>46</v>
      </c>
      <c r="E74">
        <v>2021</v>
      </c>
      <c r="F74">
        <v>57</v>
      </c>
      <c r="G74" t="s">
        <v>16</v>
      </c>
      <c r="H74" t="s">
        <v>14</v>
      </c>
      <c r="I74" t="s">
        <v>4</v>
      </c>
      <c r="J74" t="s">
        <v>69</v>
      </c>
      <c r="K74" t="s">
        <v>48</v>
      </c>
      <c r="L74" t="s">
        <v>49</v>
      </c>
      <c r="M74" t="s">
        <v>50</v>
      </c>
      <c r="N74">
        <v>4</v>
      </c>
      <c r="O74">
        <v>1252</v>
      </c>
      <c r="P74">
        <v>2295</v>
      </c>
      <c r="Q74">
        <v>4172</v>
      </c>
      <c r="R74">
        <f t="shared" si="2"/>
        <v>5008</v>
      </c>
      <c r="S74">
        <f t="shared" si="3"/>
        <v>9180</v>
      </c>
    </row>
    <row r="75" spans="1:19" ht="15">
      <c r="A75" t="s">
        <v>154</v>
      </c>
      <c r="B75">
        <v>44550</v>
      </c>
      <c r="C75">
        <v>20</v>
      </c>
      <c r="D75" t="s">
        <v>46</v>
      </c>
      <c r="E75">
        <v>2021</v>
      </c>
      <c r="F75">
        <v>29</v>
      </c>
      <c r="G75" t="s">
        <v>17</v>
      </c>
      <c r="H75" t="s">
        <v>14</v>
      </c>
      <c r="I75" t="s">
        <v>5</v>
      </c>
      <c r="J75" t="s">
        <v>74</v>
      </c>
      <c r="K75" t="s">
        <v>48</v>
      </c>
      <c r="L75" t="s">
        <v>49</v>
      </c>
      <c r="M75" t="s">
        <v>155</v>
      </c>
      <c r="N75">
        <v>3</v>
      </c>
      <c r="O75">
        <v>295</v>
      </c>
      <c r="P75">
        <v>540</v>
      </c>
      <c r="Q75">
        <v>735</v>
      </c>
      <c r="R75">
        <f t="shared" si="2"/>
        <v>885</v>
      </c>
      <c r="S75">
        <f t="shared" si="3"/>
        <v>1620</v>
      </c>
    </row>
    <row r="76" spans="1:19" ht="15">
      <c r="A76" t="s">
        <v>156</v>
      </c>
      <c r="B76">
        <v>44550</v>
      </c>
      <c r="C76">
        <v>20</v>
      </c>
      <c r="D76" t="s">
        <v>46</v>
      </c>
      <c r="E76">
        <v>2021</v>
      </c>
      <c r="F76">
        <v>35</v>
      </c>
      <c r="G76" t="s">
        <v>16</v>
      </c>
      <c r="H76" t="s">
        <v>13</v>
      </c>
      <c r="I76" t="s">
        <v>4</v>
      </c>
      <c r="J76" t="s">
        <v>69</v>
      </c>
      <c r="K76" t="s">
        <v>48</v>
      </c>
      <c r="L76" t="s">
        <v>49</v>
      </c>
      <c r="M76" t="s">
        <v>70</v>
      </c>
      <c r="N76">
        <v>1</v>
      </c>
      <c r="O76">
        <v>1266</v>
      </c>
      <c r="P76">
        <v>2320</v>
      </c>
      <c r="Q76">
        <v>1054</v>
      </c>
      <c r="R76">
        <f t="shared" si="2"/>
        <v>1266</v>
      </c>
      <c r="S76">
        <f t="shared" si="3"/>
        <v>2320</v>
      </c>
    </row>
    <row r="77" spans="1:19" ht="15">
      <c r="A77" t="s">
        <v>157</v>
      </c>
      <c r="B77">
        <v>44550</v>
      </c>
      <c r="C77">
        <v>20</v>
      </c>
      <c r="D77" t="s">
        <v>46</v>
      </c>
      <c r="E77">
        <v>2021</v>
      </c>
      <c r="F77">
        <v>35</v>
      </c>
      <c r="G77" t="s">
        <v>16</v>
      </c>
      <c r="H77" t="s">
        <v>14</v>
      </c>
      <c r="I77" t="s">
        <v>4</v>
      </c>
      <c r="J77" t="s">
        <v>89</v>
      </c>
      <c r="K77" t="s">
        <v>48</v>
      </c>
      <c r="L77" t="s">
        <v>49</v>
      </c>
      <c r="M77" t="s">
        <v>70</v>
      </c>
      <c r="N77">
        <v>1</v>
      </c>
      <c r="O77">
        <v>1266</v>
      </c>
      <c r="P77">
        <v>2320</v>
      </c>
      <c r="Q77">
        <v>1054</v>
      </c>
      <c r="R77">
        <f t="shared" si="2"/>
        <v>1266</v>
      </c>
      <c r="S77">
        <f t="shared" si="3"/>
        <v>2320</v>
      </c>
    </row>
    <row r="78" spans="1:19" ht="15">
      <c r="A78" t="s">
        <v>158</v>
      </c>
      <c r="B78">
        <v>44551</v>
      </c>
      <c r="C78">
        <v>21</v>
      </c>
      <c r="D78" t="s">
        <v>46</v>
      </c>
      <c r="E78">
        <v>2021</v>
      </c>
      <c r="F78">
        <v>26</v>
      </c>
      <c r="G78" t="s">
        <v>17</v>
      </c>
      <c r="H78" t="s">
        <v>14</v>
      </c>
      <c r="I78" t="s">
        <v>6</v>
      </c>
      <c r="J78" t="s">
        <v>159</v>
      </c>
      <c r="K78" t="s">
        <v>48</v>
      </c>
      <c r="L78" t="s">
        <v>49</v>
      </c>
      <c r="M78" t="s">
        <v>70</v>
      </c>
      <c r="N78">
        <v>3</v>
      </c>
      <c r="O78">
        <v>1266</v>
      </c>
      <c r="P78">
        <v>2320</v>
      </c>
      <c r="Q78">
        <v>3162</v>
      </c>
      <c r="R78">
        <f t="shared" si="2"/>
        <v>3798</v>
      </c>
      <c r="S78">
        <f t="shared" si="3"/>
        <v>6960</v>
      </c>
    </row>
    <row r="79" spans="1:19" ht="15">
      <c r="A79" t="s">
        <v>160</v>
      </c>
      <c r="B79">
        <v>44551</v>
      </c>
      <c r="C79">
        <v>21</v>
      </c>
      <c r="D79" t="s">
        <v>46</v>
      </c>
      <c r="E79">
        <v>2021</v>
      </c>
      <c r="F79">
        <v>23</v>
      </c>
      <c r="G79" t="s">
        <v>18</v>
      </c>
      <c r="H79" t="s">
        <v>14</v>
      </c>
      <c r="I79" t="s">
        <v>9</v>
      </c>
      <c r="J79" t="s">
        <v>52</v>
      </c>
      <c r="K79" t="s">
        <v>48</v>
      </c>
      <c r="L79" t="s">
        <v>49</v>
      </c>
      <c r="M79" t="s">
        <v>55</v>
      </c>
      <c r="N79">
        <v>2</v>
      </c>
      <c r="O79">
        <v>420</v>
      </c>
      <c r="P79">
        <v>769</v>
      </c>
      <c r="Q79">
        <v>698</v>
      </c>
      <c r="R79">
        <f t="shared" si="2"/>
        <v>840</v>
      </c>
      <c r="S79">
        <f t="shared" si="3"/>
        <v>1538</v>
      </c>
    </row>
    <row r="80" spans="1:19" ht="15">
      <c r="A80" t="s">
        <v>161</v>
      </c>
      <c r="B80">
        <v>44552</v>
      </c>
      <c r="C80">
        <v>22</v>
      </c>
      <c r="D80" t="s">
        <v>46</v>
      </c>
      <c r="E80">
        <v>2021</v>
      </c>
      <c r="F80">
        <v>30</v>
      </c>
      <c r="G80" t="s">
        <v>17</v>
      </c>
      <c r="H80" t="s">
        <v>13</v>
      </c>
      <c r="I80" t="s">
        <v>3</v>
      </c>
      <c r="J80" t="s">
        <v>63</v>
      </c>
      <c r="K80" t="s">
        <v>48</v>
      </c>
      <c r="L80" t="s">
        <v>49</v>
      </c>
      <c r="M80" t="s">
        <v>70</v>
      </c>
      <c r="N80">
        <v>3</v>
      </c>
      <c r="O80">
        <v>1266</v>
      </c>
      <c r="P80">
        <v>2320</v>
      </c>
      <c r="Q80">
        <v>3162</v>
      </c>
      <c r="R80">
        <f t="shared" si="2"/>
        <v>3798</v>
      </c>
      <c r="S80">
        <f t="shared" si="3"/>
        <v>6960</v>
      </c>
    </row>
    <row r="81" spans="1:19" ht="15">
      <c r="A81" t="s">
        <v>162</v>
      </c>
      <c r="B81">
        <v>44552</v>
      </c>
      <c r="C81">
        <v>22</v>
      </c>
      <c r="D81" t="s">
        <v>46</v>
      </c>
      <c r="E81">
        <v>2021</v>
      </c>
      <c r="F81">
        <v>41</v>
      </c>
      <c r="G81" t="s">
        <v>16</v>
      </c>
      <c r="H81" t="s">
        <v>14</v>
      </c>
      <c r="I81" t="s">
        <v>3</v>
      </c>
      <c r="J81" t="s">
        <v>47</v>
      </c>
      <c r="K81" t="s">
        <v>48</v>
      </c>
      <c r="L81" t="s">
        <v>49</v>
      </c>
      <c r="M81" t="s">
        <v>76</v>
      </c>
      <c r="N81">
        <v>3</v>
      </c>
      <c r="O81">
        <v>1252</v>
      </c>
      <c r="P81">
        <v>2295</v>
      </c>
      <c r="Q81">
        <v>3129</v>
      </c>
      <c r="R81">
        <f t="shared" si="2"/>
        <v>3756</v>
      </c>
      <c r="S81">
        <f t="shared" si="3"/>
        <v>6885</v>
      </c>
    </row>
    <row r="82" spans="1:19" ht="15">
      <c r="A82" t="s">
        <v>163</v>
      </c>
      <c r="B82">
        <v>44552</v>
      </c>
      <c r="C82">
        <v>22</v>
      </c>
      <c r="D82" t="s">
        <v>46</v>
      </c>
      <c r="E82">
        <v>2021</v>
      </c>
      <c r="F82">
        <v>19</v>
      </c>
      <c r="G82" t="s">
        <v>18</v>
      </c>
      <c r="H82" t="s">
        <v>13</v>
      </c>
      <c r="I82" t="s">
        <v>4</v>
      </c>
      <c r="J82" t="s">
        <v>57</v>
      </c>
      <c r="K82" t="s">
        <v>48</v>
      </c>
      <c r="L82" t="s">
        <v>49</v>
      </c>
      <c r="M82" t="s">
        <v>82</v>
      </c>
      <c r="N82">
        <v>1</v>
      </c>
      <c r="O82">
        <v>308</v>
      </c>
      <c r="P82">
        <v>565</v>
      </c>
      <c r="Q82">
        <v>257</v>
      </c>
      <c r="R82">
        <f t="shared" si="2"/>
        <v>308</v>
      </c>
      <c r="S82">
        <f t="shared" si="3"/>
        <v>565</v>
      </c>
    </row>
    <row r="83" spans="1:19" ht="15">
      <c r="A83" t="s">
        <v>164</v>
      </c>
      <c r="B83">
        <v>44552</v>
      </c>
      <c r="C83">
        <v>22</v>
      </c>
      <c r="D83" t="s">
        <v>46</v>
      </c>
      <c r="E83">
        <v>2021</v>
      </c>
      <c r="F83">
        <v>25</v>
      </c>
      <c r="G83" t="s">
        <v>17</v>
      </c>
      <c r="H83" t="s">
        <v>14</v>
      </c>
      <c r="I83" t="s">
        <v>6</v>
      </c>
      <c r="J83" t="s">
        <v>102</v>
      </c>
      <c r="K83" t="s">
        <v>48</v>
      </c>
      <c r="L83" t="s">
        <v>49</v>
      </c>
      <c r="M83" t="s">
        <v>61</v>
      </c>
      <c r="N83">
        <v>1</v>
      </c>
      <c r="O83">
        <v>1252</v>
      </c>
      <c r="P83">
        <v>2295</v>
      </c>
      <c r="Q83">
        <v>1043</v>
      </c>
      <c r="R83">
        <f t="shared" si="2"/>
        <v>1252</v>
      </c>
      <c r="S83">
        <f t="shared" si="3"/>
        <v>2295</v>
      </c>
    </row>
    <row r="84" spans="1:19" ht="15">
      <c r="A84" t="s">
        <v>165</v>
      </c>
      <c r="B84">
        <v>44552</v>
      </c>
      <c r="C84">
        <v>22</v>
      </c>
      <c r="D84" t="s">
        <v>46</v>
      </c>
      <c r="E84">
        <v>2021</v>
      </c>
      <c r="F84">
        <v>27</v>
      </c>
      <c r="G84" t="s">
        <v>17</v>
      </c>
      <c r="H84" t="s">
        <v>13</v>
      </c>
      <c r="I84" t="s">
        <v>5</v>
      </c>
      <c r="J84" t="s">
        <v>74</v>
      </c>
      <c r="K84" t="s">
        <v>48</v>
      </c>
      <c r="L84" t="s">
        <v>49</v>
      </c>
      <c r="M84" t="s">
        <v>50</v>
      </c>
      <c r="N84">
        <v>1</v>
      </c>
      <c r="O84">
        <v>1252</v>
      </c>
      <c r="P84">
        <v>2295</v>
      </c>
      <c r="Q84">
        <v>1043</v>
      </c>
      <c r="R84">
        <f t="shared" si="2"/>
        <v>1252</v>
      </c>
      <c r="S84">
        <f t="shared" si="3"/>
        <v>2295</v>
      </c>
    </row>
    <row r="85" spans="1:19" ht="15">
      <c r="A85" t="s">
        <v>166</v>
      </c>
      <c r="B85">
        <v>44552</v>
      </c>
      <c r="C85">
        <v>22</v>
      </c>
      <c r="D85" t="s">
        <v>46</v>
      </c>
      <c r="E85">
        <v>2021</v>
      </c>
      <c r="F85">
        <v>41</v>
      </c>
      <c r="G85" t="s">
        <v>16</v>
      </c>
      <c r="H85" t="s">
        <v>14</v>
      </c>
      <c r="I85" t="s">
        <v>7</v>
      </c>
      <c r="J85" t="s">
        <v>150</v>
      </c>
      <c r="K85" t="s">
        <v>48</v>
      </c>
      <c r="L85" t="s">
        <v>49</v>
      </c>
      <c r="M85" t="s">
        <v>70</v>
      </c>
      <c r="N85">
        <v>1</v>
      </c>
      <c r="O85">
        <v>1266</v>
      </c>
      <c r="P85">
        <v>2320</v>
      </c>
      <c r="Q85">
        <v>1054</v>
      </c>
      <c r="R85">
        <f t="shared" si="2"/>
        <v>1266</v>
      </c>
      <c r="S85">
        <f t="shared" si="3"/>
        <v>2320</v>
      </c>
    </row>
    <row r="86" spans="1:19" ht="15">
      <c r="A86" t="s">
        <v>167</v>
      </c>
      <c r="B86">
        <v>44553</v>
      </c>
      <c r="C86">
        <v>23</v>
      </c>
      <c r="D86" t="s">
        <v>46</v>
      </c>
      <c r="E86">
        <v>2021</v>
      </c>
      <c r="F86">
        <v>30</v>
      </c>
      <c r="G86" t="s">
        <v>17</v>
      </c>
      <c r="H86" t="s">
        <v>13</v>
      </c>
      <c r="I86" t="s">
        <v>3</v>
      </c>
      <c r="J86" t="s">
        <v>85</v>
      </c>
      <c r="K86" t="s">
        <v>48</v>
      </c>
      <c r="L86" t="s">
        <v>49</v>
      </c>
      <c r="M86" t="s">
        <v>53</v>
      </c>
      <c r="N86">
        <v>1</v>
      </c>
      <c r="O86">
        <v>1266</v>
      </c>
      <c r="P86">
        <v>2320</v>
      </c>
      <c r="Q86">
        <v>1054</v>
      </c>
      <c r="R86">
        <f t="shared" si="2"/>
        <v>1266</v>
      </c>
      <c r="S86">
        <f t="shared" si="3"/>
        <v>2320</v>
      </c>
    </row>
    <row r="87" spans="1:19" ht="15">
      <c r="A87" t="s">
        <v>168</v>
      </c>
      <c r="B87">
        <v>44553</v>
      </c>
      <c r="C87">
        <v>23</v>
      </c>
      <c r="D87" t="s">
        <v>46</v>
      </c>
      <c r="E87">
        <v>2021</v>
      </c>
      <c r="F87">
        <v>31</v>
      </c>
      <c r="G87" t="s">
        <v>17</v>
      </c>
      <c r="H87" t="s">
        <v>13</v>
      </c>
      <c r="I87" t="s">
        <v>5</v>
      </c>
      <c r="J87" t="s">
        <v>74</v>
      </c>
      <c r="K87" t="s">
        <v>48</v>
      </c>
      <c r="L87" t="s">
        <v>49</v>
      </c>
      <c r="M87" t="s">
        <v>76</v>
      </c>
      <c r="N87">
        <v>1</v>
      </c>
      <c r="O87">
        <v>1252</v>
      </c>
      <c r="P87">
        <v>2295</v>
      </c>
      <c r="Q87">
        <v>1043</v>
      </c>
      <c r="R87">
        <f t="shared" si="2"/>
        <v>1252</v>
      </c>
      <c r="S87">
        <f t="shared" si="3"/>
        <v>2295</v>
      </c>
    </row>
    <row r="88" spans="1:19" ht="15">
      <c r="A88" t="s">
        <v>169</v>
      </c>
      <c r="B88">
        <v>44553</v>
      </c>
      <c r="C88">
        <v>23</v>
      </c>
      <c r="D88" t="s">
        <v>46</v>
      </c>
      <c r="E88">
        <v>2021</v>
      </c>
      <c r="F88">
        <v>35</v>
      </c>
      <c r="G88" t="s">
        <v>16</v>
      </c>
      <c r="H88" t="s">
        <v>13</v>
      </c>
      <c r="I88" t="s">
        <v>3</v>
      </c>
      <c r="J88" t="s">
        <v>47</v>
      </c>
      <c r="K88" t="s">
        <v>48</v>
      </c>
      <c r="L88" t="s">
        <v>49</v>
      </c>
      <c r="M88" t="s">
        <v>86</v>
      </c>
      <c r="N88">
        <v>1</v>
      </c>
      <c r="O88">
        <v>295</v>
      </c>
      <c r="P88">
        <v>540</v>
      </c>
      <c r="Q88">
        <v>245</v>
      </c>
      <c r="R88">
        <f t="shared" si="2"/>
        <v>295</v>
      </c>
      <c r="S88">
        <f t="shared" si="3"/>
        <v>540</v>
      </c>
    </row>
    <row r="89" spans="1:19" ht="15">
      <c r="A89" t="s">
        <v>170</v>
      </c>
      <c r="B89">
        <v>44554</v>
      </c>
      <c r="C89">
        <v>24</v>
      </c>
      <c r="D89" t="s">
        <v>46</v>
      </c>
      <c r="E89">
        <v>2021</v>
      </c>
      <c r="F89">
        <v>38</v>
      </c>
      <c r="G89" t="s">
        <v>16</v>
      </c>
      <c r="H89" t="s">
        <v>14</v>
      </c>
      <c r="I89" t="s">
        <v>4</v>
      </c>
      <c r="J89" t="s">
        <v>69</v>
      </c>
      <c r="K89" t="s">
        <v>48</v>
      </c>
      <c r="L89" t="s">
        <v>49</v>
      </c>
      <c r="M89" t="s">
        <v>76</v>
      </c>
      <c r="N89">
        <v>4</v>
      </c>
      <c r="O89">
        <v>1252</v>
      </c>
      <c r="P89">
        <v>2295</v>
      </c>
      <c r="Q89">
        <v>4172</v>
      </c>
      <c r="R89">
        <f t="shared" si="2"/>
        <v>5008</v>
      </c>
      <c r="S89">
        <f t="shared" si="3"/>
        <v>9180</v>
      </c>
    </row>
    <row r="90" spans="1:19" ht="15"/>
    <row r="91" spans="1:19" s="6" customFormat="1" ht="15">
      <c r="A91" s="5" t="s">
        <v>171</v>
      </c>
      <c r="G91" s="7"/>
    </row>
    <row r="92" spans="1:19" ht="15">
      <c r="A92" s="2"/>
    </row>
    <row r="93" spans="1:19">
      <c r="A93" t="s">
        <v>29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15</v>
      </c>
      <c r="H93" t="s">
        <v>12</v>
      </c>
      <c r="I93" t="s">
        <v>0</v>
      </c>
      <c r="J93" t="s">
        <v>35</v>
      </c>
      <c r="K93" t="s">
        <v>36</v>
      </c>
      <c r="L93" t="s">
        <v>37</v>
      </c>
      <c r="M93" t="s">
        <v>38</v>
      </c>
      <c r="N93" t="s">
        <v>39</v>
      </c>
      <c r="O93" t="s">
        <v>40</v>
      </c>
      <c r="P93" t="s">
        <v>41</v>
      </c>
      <c r="Q93" t="s">
        <v>42</v>
      </c>
      <c r="R93" t="s">
        <v>43</v>
      </c>
      <c r="S93" t="s">
        <v>44</v>
      </c>
    </row>
    <row r="94" spans="1:19">
      <c r="A94" t="s">
        <v>45</v>
      </c>
      <c r="B94">
        <v>44531</v>
      </c>
      <c r="C94">
        <v>1</v>
      </c>
      <c r="D94" t="s">
        <v>46</v>
      </c>
      <c r="E94">
        <v>2021</v>
      </c>
      <c r="F94">
        <v>39</v>
      </c>
      <c r="G94" t="s">
        <v>16</v>
      </c>
      <c r="H94" t="s">
        <v>13</v>
      </c>
      <c r="I94" t="str">
        <f>TRIM(I2)</f>
        <v>United States</v>
      </c>
      <c r="J94" t="s">
        <v>47</v>
      </c>
      <c r="K94" t="s">
        <v>48</v>
      </c>
      <c r="L94" t="s">
        <v>49</v>
      </c>
      <c r="M94" t="s">
        <v>50</v>
      </c>
      <c r="N94">
        <v>4</v>
      </c>
      <c r="O94">
        <v>1252</v>
      </c>
      <c r="P94">
        <v>2295</v>
      </c>
      <c r="Q94">
        <v>4172</v>
      </c>
      <c r="R94">
        <f>N94*O94</f>
        <v>5008</v>
      </c>
      <c r="S94">
        <f>N94*P94</f>
        <v>9180</v>
      </c>
    </row>
    <row r="95" spans="1:19">
      <c r="A95" t="s">
        <v>51</v>
      </c>
      <c r="B95">
        <v>44531</v>
      </c>
      <c r="C95">
        <v>1</v>
      </c>
      <c r="D95" t="s">
        <v>46</v>
      </c>
      <c r="E95">
        <v>2021</v>
      </c>
      <c r="F95">
        <v>44</v>
      </c>
      <c r="G95" t="s">
        <v>16</v>
      </c>
      <c r="H95" t="s">
        <v>14</v>
      </c>
      <c r="I95" t="str">
        <f t="shared" ref="I95:I158" si="4">TRIM(I3)</f>
        <v>United Kingdom</v>
      </c>
      <c r="J95" t="s">
        <v>52</v>
      </c>
      <c r="K95" t="s">
        <v>48</v>
      </c>
      <c r="L95" t="s">
        <v>49</v>
      </c>
      <c r="M95" t="s">
        <v>53</v>
      </c>
      <c r="N95">
        <v>1</v>
      </c>
      <c r="O95">
        <v>1266</v>
      </c>
      <c r="P95">
        <v>2320</v>
      </c>
      <c r="Q95">
        <v>1054</v>
      </c>
      <c r="R95">
        <f t="shared" ref="R95:R158" si="5">N95*O95</f>
        <v>1266</v>
      </c>
      <c r="S95">
        <f t="shared" ref="S95:S158" si="6">N95*P95</f>
        <v>2320</v>
      </c>
    </row>
    <row r="96" spans="1:19">
      <c r="A96" t="s">
        <v>54</v>
      </c>
      <c r="B96">
        <v>44532</v>
      </c>
      <c r="C96">
        <v>2</v>
      </c>
      <c r="D96" t="s">
        <v>46</v>
      </c>
      <c r="E96">
        <v>2021</v>
      </c>
      <c r="F96">
        <v>37</v>
      </c>
      <c r="G96" t="s">
        <v>16</v>
      </c>
      <c r="H96" t="s">
        <v>14</v>
      </c>
      <c r="I96" t="str">
        <f t="shared" si="4"/>
        <v>United States</v>
      </c>
      <c r="J96" t="s">
        <v>47</v>
      </c>
      <c r="K96" t="s">
        <v>48</v>
      </c>
      <c r="L96" t="s">
        <v>49</v>
      </c>
      <c r="M96" t="s">
        <v>55</v>
      </c>
      <c r="N96">
        <v>2</v>
      </c>
      <c r="O96">
        <v>420</v>
      </c>
      <c r="P96">
        <v>769</v>
      </c>
      <c r="Q96">
        <v>698</v>
      </c>
      <c r="R96">
        <f t="shared" si="5"/>
        <v>840</v>
      </c>
      <c r="S96">
        <f t="shared" si="6"/>
        <v>1538</v>
      </c>
    </row>
    <row r="97" spans="1:19">
      <c r="A97" t="s">
        <v>56</v>
      </c>
      <c r="B97">
        <v>44532</v>
      </c>
      <c r="C97">
        <v>2</v>
      </c>
      <c r="D97" t="s">
        <v>46</v>
      </c>
      <c r="E97">
        <v>2021</v>
      </c>
      <c r="F97">
        <v>31</v>
      </c>
      <c r="G97" t="s">
        <v>17</v>
      </c>
      <c r="H97" t="s">
        <v>13</v>
      </c>
      <c r="I97" t="str">
        <f t="shared" si="4"/>
        <v>Australia</v>
      </c>
      <c r="J97" t="s">
        <v>57</v>
      </c>
      <c r="K97" t="s">
        <v>48</v>
      </c>
      <c r="L97" t="s">
        <v>49</v>
      </c>
      <c r="M97" t="s">
        <v>58</v>
      </c>
      <c r="N97">
        <v>1</v>
      </c>
      <c r="O97">
        <v>420</v>
      </c>
      <c r="P97">
        <v>769</v>
      </c>
      <c r="Q97">
        <v>349</v>
      </c>
      <c r="R97">
        <f t="shared" si="5"/>
        <v>420</v>
      </c>
      <c r="S97">
        <f t="shared" si="6"/>
        <v>769</v>
      </c>
    </row>
    <row r="98" spans="1:19">
      <c r="A98" t="s">
        <v>59</v>
      </c>
      <c r="B98">
        <v>44533</v>
      </c>
      <c r="C98">
        <v>3</v>
      </c>
      <c r="D98" t="s">
        <v>46</v>
      </c>
      <c r="E98">
        <v>2021</v>
      </c>
      <c r="F98">
        <v>37</v>
      </c>
      <c r="G98" t="s">
        <v>16</v>
      </c>
      <c r="H98" t="s">
        <v>13</v>
      </c>
      <c r="I98" t="str">
        <f t="shared" si="4"/>
        <v>United States</v>
      </c>
      <c r="J98" t="s">
        <v>47</v>
      </c>
      <c r="K98" t="s">
        <v>48</v>
      </c>
      <c r="L98" t="s">
        <v>49</v>
      </c>
      <c r="M98" t="s">
        <v>50</v>
      </c>
      <c r="N98">
        <v>2</v>
      </c>
      <c r="O98">
        <v>1252</v>
      </c>
      <c r="P98">
        <v>2295</v>
      </c>
      <c r="Q98">
        <v>2086</v>
      </c>
      <c r="R98">
        <f t="shared" si="5"/>
        <v>2504</v>
      </c>
      <c r="S98">
        <f t="shared" si="6"/>
        <v>4590</v>
      </c>
    </row>
    <row r="99" spans="1:19">
      <c r="A99" t="s">
        <v>60</v>
      </c>
      <c r="B99">
        <v>44533</v>
      </c>
      <c r="C99">
        <v>3</v>
      </c>
      <c r="D99" t="s">
        <v>46</v>
      </c>
      <c r="E99">
        <v>2021</v>
      </c>
      <c r="F99">
        <v>24</v>
      </c>
      <c r="G99" t="s">
        <v>18</v>
      </c>
      <c r="H99" t="s">
        <v>13</v>
      </c>
      <c r="I99" t="str">
        <f t="shared" si="4"/>
        <v>United Kingdom</v>
      </c>
      <c r="J99" t="s">
        <v>52</v>
      </c>
      <c r="K99" t="s">
        <v>48</v>
      </c>
      <c r="L99" t="s">
        <v>49</v>
      </c>
      <c r="M99" t="s">
        <v>61</v>
      </c>
      <c r="N99">
        <v>1</v>
      </c>
      <c r="O99">
        <v>1252</v>
      </c>
      <c r="P99">
        <v>2295</v>
      </c>
      <c r="Q99">
        <v>1043</v>
      </c>
      <c r="R99">
        <f t="shared" si="5"/>
        <v>1252</v>
      </c>
      <c r="S99">
        <f t="shared" si="6"/>
        <v>2295</v>
      </c>
    </row>
    <row r="100" spans="1:19">
      <c r="A100" t="s">
        <v>62</v>
      </c>
      <c r="B100">
        <v>44533</v>
      </c>
      <c r="C100">
        <v>3</v>
      </c>
      <c r="D100" t="s">
        <v>46</v>
      </c>
      <c r="E100">
        <v>2021</v>
      </c>
      <c r="F100">
        <v>37</v>
      </c>
      <c r="G100" t="s">
        <v>16</v>
      </c>
      <c r="H100" t="s">
        <v>14</v>
      </c>
      <c r="I100" t="str">
        <f t="shared" si="4"/>
        <v>United States</v>
      </c>
      <c r="J100" t="s">
        <v>63</v>
      </c>
      <c r="K100" t="s">
        <v>48</v>
      </c>
      <c r="L100" t="s">
        <v>49</v>
      </c>
      <c r="M100" t="s">
        <v>50</v>
      </c>
      <c r="N100">
        <v>1</v>
      </c>
      <c r="O100">
        <v>1252</v>
      </c>
      <c r="P100">
        <v>2295</v>
      </c>
      <c r="Q100">
        <v>1043</v>
      </c>
      <c r="R100">
        <f t="shared" si="5"/>
        <v>1252</v>
      </c>
      <c r="S100">
        <f t="shared" si="6"/>
        <v>2295</v>
      </c>
    </row>
    <row r="101" spans="1:19">
      <c r="A101" t="s">
        <v>64</v>
      </c>
      <c r="B101">
        <v>44534</v>
      </c>
      <c r="C101">
        <v>4</v>
      </c>
      <c r="D101" t="s">
        <v>46</v>
      </c>
      <c r="E101">
        <v>2021</v>
      </c>
      <c r="F101">
        <v>31</v>
      </c>
      <c r="G101" t="s">
        <v>17</v>
      </c>
      <c r="H101" t="s">
        <v>13</v>
      </c>
      <c r="I101" t="str">
        <f t="shared" si="4"/>
        <v>Australia</v>
      </c>
      <c r="J101" t="s">
        <v>57</v>
      </c>
      <c r="K101" t="s">
        <v>48</v>
      </c>
      <c r="L101" t="s">
        <v>49</v>
      </c>
      <c r="M101" t="s">
        <v>58</v>
      </c>
      <c r="N101">
        <v>4</v>
      </c>
      <c r="O101">
        <v>420</v>
      </c>
      <c r="P101">
        <v>769</v>
      </c>
      <c r="Q101">
        <v>1396</v>
      </c>
      <c r="R101">
        <f t="shared" si="5"/>
        <v>1680</v>
      </c>
      <c r="S101">
        <f t="shared" si="6"/>
        <v>3076</v>
      </c>
    </row>
    <row r="102" spans="1:19">
      <c r="A102" t="s">
        <v>65</v>
      </c>
      <c r="B102">
        <v>44535</v>
      </c>
      <c r="C102">
        <v>5</v>
      </c>
      <c r="D102" t="s">
        <v>46</v>
      </c>
      <c r="E102">
        <v>2021</v>
      </c>
      <c r="F102">
        <v>39</v>
      </c>
      <c r="G102" t="s">
        <v>16</v>
      </c>
      <c r="H102" t="s">
        <v>13</v>
      </c>
      <c r="I102" t="str">
        <f t="shared" si="4"/>
        <v>United States</v>
      </c>
      <c r="J102" t="s">
        <v>47</v>
      </c>
      <c r="K102" t="s">
        <v>48</v>
      </c>
      <c r="L102" t="s">
        <v>49</v>
      </c>
      <c r="M102" t="s">
        <v>50</v>
      </c>
      <c r="N102">
        <v>4</v>
      </c>
      <c r="O102">
        <v>1252</v>
      </c>
      <c r="P102">
        <v>2295</v>
      </c>
      <c r="Q102">
        <v>4172</v>
      </c>
      <c r="R102">
        <f t="shared" si="5"/>
        <v>5008</v>
      </c>
      <c r="S102">
        <f t="shared" si="6"/>
        <v>9180</v>
      </c>
    </row>
    <row r="103" spans="1:19">
      <c r="A103" t="s">
        <v>66</v>
      </c>
      <c r="B103">
        <v>44535</v>
      </c>
      <c r="D103" t="s">
        <v>46</v>
      </c>
      <c r="E103">
        <v>2021</v>
      </c>
      <c r="F103">
        <v>42</v>
      </c>
      <c r="G103" t="s">
        <v>16</v>
      </c>
      <c r="H103" t="s">
        <v>14</v>
      </c>
      <c r="I103" t="str">
        <f t="shared" si="4"/>
        <v>Germany</v>
      </c>
      <c r="J103" t="s">
        <v>67</v>
      </c>
      <c r="K103" t="s">
        <v>48</v>
      </c>
      <c r="L103" t="s">
        <v>49</v>
      </c>
      <c r="M103" t="s">
        <v>61</v>
      </c>
      <c r="N103">
        <v>4</v>
      </c>
      <c r="O103">
        <v>1252</v>
      </c>
      <c r="P103">
        <v>2295</v>
      </c>
      <c r="Q103">
        <v>4172</v>
      </c>
      <c r="R103">
        <f t="shared" si="5"/>
        <v>5008</v>
      </c>
      <c r="S103">
        <f t="shared" si="6"/>
        <v>9180</v>
      </c>
    </row>
    <row r="104" spans="1:19">
      <c r="A104" t="s">
        <v>68</v>
      </c>
      <c r="B104">
        <v>44535</v>
      </c>
      <c r="C104">
        <v>5</v>
      </c>
      <c r="D104" t="s">
        <v>46</v>
      </c>
      <c r="E104">
        <v>2021</v>
      </c>
      <c r="F104">
        <v>35</v>
      </c>
      <c r="G104" t="s">
        <v>16</v>
      </c>
      <c r="H104" t="s">
        <v>13</v>
      </c>
      <c r="I104" t="str">
        <f t="shared" si="4"/>
        <v>Australia</v>
      </c>
      <c r="J104" t="s">
        <v>69</v>
      </c>
      <c r="K104" t="s">
        <v>48</v>
      </c>
      <c r="L104" t="s">
        <v>49</v>
      </c>
      <c r="M104" t="s">
        <v>70</v>
      </c>
      <c r="N104">
        <v>1</v>
      </c>
      <c r="O104">
        <v>1266</v>
      </c>
      <c r="P104">
        <v>2320</v>
      </c>
      <c r="Q104">
        <v>1054</v>
      </c>
      <c r="R104">
        <f t="shared" si="5"/>
        <v>1266</v>
      </c>
      <c r="S104">
        <f t="shared" si="6"/>
        <v>2320</v>
      </c>
    </row>
    <row r="105" spans="1:19">
      <c r="A105" t="s">
        <v>71</v>
      </c>
      <c r="B105">
        <v>44535</v>
      </c>
      <c r="C105">
        <v>5</v>
      </c>
      <c r="D105" t="s">
        <v>46</v>
      </c>
      <c r="E105">
        <v>2021</v>
      </c>
      <c r="F105">
        <v>37</v>
      </c>
      <c r="G105" t="s">
        <v>16</v>
      </c>
      <c r="H105" t="s">
        <v>13</v>
      </c>
      <c r="I105" t="str">
        <f t="shared" si="4"/>
        <v>United States</v>
      </c>
      <c r="J105" t="s">
        <v>47</v>
      </c>
      <c r="K105" t="s">
        <v>48</v>
      </c>
      <c r="L105" t="s">
        <v>49</v>
      </c>
      <c r="M105" t="s">
        <v>50</v>
      </c>
      <c r="N105">
        <v>1</v>
      </c>
      <c r="O105">
        <v>1252</v>
      </c>
      <c r="P105">
        <v>2295</v>
      </c>
      <c r="Q105">
        <v>1043</v>
      </c>
      <c r="R105">
        <f t="shared" si="5"/>
        <v>1252</v>
      </c>
      <c r="S105">
        <f t="shared" si="6"/>
        <v>2295</v>
      </c>
    </row>
    <row r="106" spans="1:19">
      <c r="A106" t="s">
        <v>72</v>
      </c>
      <c r="B106">
        <v>44536</v>
      </c>
      <c r="C106">
        <v>6</v>
      </c>
      <c r="D106" t="s">
        <v>46</v>
      </c>
      <c r="E106">
        <v>2021</v>
      </c>
      <c r="F106">
        <v>23</v>
      </c>
      <c r="G106" t="s">
        <v>18</v>
      </c>
      <c r="H106" t="s">
        <v>14</v>
      </c>
      <c r="I106" t="str">
        <f t="shared" si="4"/>
        <v>United Kingdom</v>
      </c>
      <c r="J106" t="s">
        <v>52</v>
      </c>
      <c r="K106" t="s">
        <v>48</v>
      </c>
      <c r="L106" t="s">
        <v>49</v>
      </c>
      <c r="M106" t="s">
        <v>55</v>
      </c>
      <c r="N106">
        <v>3</v>
      </c>
      <c r="O106">
        <v>420</v>
      </c>
      <c r="P106">
        <v>769</v>
      </c>
      <c r="Q106">
        <v>1047</v>
      </c>
      <c r="R106">
        <f t="shared" si="5"/>
        <v>1260</v>
      </c>
      <c r="S106">
        <f t="shared" si="6"/>
        <v>2307</v>
      </c>
    </row>
    <row r="107" spans="1:19">
      <c r="A107" t="s">
        <v>73</v>
      </c>
      <c r="B107">
        <v>44536</v>
      </c>
      <c r="C107">
        <v>6</v>
      </c>
      <c r="D107" t="s">
        <v>46</v>
      </c>
      <c r="E107">
        <v>2021</v>
      </c>
      <c r="F107">
        <v>27</v>
      </c>
      <c r="G107" t="s">
        <v>17</v>
      </c>
      <c r="H107" t="s">
        <v>14</v>
      </c>
      <c r="I107" t="str">
        <f t="shared" si="4"/>
        <v>Canada</v>
      </c>
      <c r="J107" t="s">
        <v>74</v>
      </c>
      <c r="K107" t="s">
        <v>48</v>
      </c>
      <c r="L107" t="s">
        <v>49</v>
      </c>
      <c r="M107" t="s">
        <v>50</v>
      </c>
      <c r="N107">
        <v>1</v>
      </c>
      <c r="O107">
        <v>1252</v>
      </c>
      <c r="P107">
        <v>2295</v>
      </c>
      <c r="Q107">
        <v>1043</v>
      </c>
      <c r="R107">
        <f t="shared" si="5"/>
        <v>1252</v>
      </c>
      <c r="S107">
        <f t="shared" si="6"/>
        <v>2295</v>
      </c>
    </row>
    <row r="108" spans="1:19">
      <c r="A108" t="s">
        <v>75</v>
      </c>
      <c r="B108">
        <v>44536</v>
      </c>
      <c r="C108">
        <v>6</v>
      </c>
      <c r="D108" t="s">
        <v>46</v>
      </c>
      <c r="E108">
        <v>2021</v>
      </c>
      <c r="F108">
        <v>36</v>
      </c>
      <c r="G108" t="s">
        <v>16</v>
      </c>
      <c r="H108" t="s">
        <v>14</v>
      </c>
      <c r="I108" t="str">
        <f t="shared" si="4"/>
        <v>Australia</v>
      </c>
      <c r="J108" t="s">
        <v>57</v>
      </c>
      <c r="K108" t="s">
        <v>48</v>
      </c>
      <c r="L108" t="s">
        <v>49</v>
      </c>
      <c r="M108" t="s">
        <v>76</v>
      </c>
      <c r="N108">
        <v>1</v>
      </c>
      <c r="O108">
        <v>1252</v>
      </c>
      <c r="P108">
        <v>2295</v>
      </c>
      <c r="Q108">
        <v>1043</v>
      </c>
      <c r="R108">
        <f t="shared" si="5"/>
        <v>1252</v>
      </c>
      <c r="S108">
        <f t="shared" si="6"/>
        <v>2295</v>
      </c>
    </row>
    <row r="109" spans="1:19">
      <c r="A109" t="s">
        <v>77</v>
      </c>
      <c r="B109">
        <v>44536</v>
      </c>
      <c r="C109">
        <v>6</v>
      </c>
      <c r="D109" t="s">
        <v>46</v>
      </c>
      <c r="E109">
        <v>2021</v>
      </c>
      <c r="F109">
        <v>47</v>
      </c>
      <c r="G109" t="s">
        <v>16</v>
      </c>
      <c r="H109" t="s">
        <v>14</v>
      </c>
      <c r="I109" t="str">
        <f t="shared" si="4"/>
        <v>United Kingdom</v>
      </c>
      <c r="J109" t="s">
        <v>52</v>
      </c>
      <c r="K109" t="s">
        <v>48</v>
      </c>
      <c r="L109" t="s">
        <v>49</v>
      </c>
      <c r="M109" t="s">
        <v>70</v>
      </c>
      <c r="N109">
        <v>1</v>
      </c>
      <c r="O109">
        <v>1266</v>
      </c>
      <c r="P109">
        <v>2320</v>
      </c>
      <c r="Q109">
        <v>1054</v>
      </c>
      <c r="R109">
        <f t="shared" si="5"/>
        <v>1266</v>
      </c>
      <c r="S109">
        <f t="shared" si="6"/>
        <v>2320</v>
      </c>
    </row>
    <row r="110" spans="1:19">
      <c r="A110" t="s">
        <v>78</v>
      </c>
      <c r="B110">
        <v>44537</v>
      </c>
      <c r="C110">
        <v>7</v>
      </c>
      <c r="D110" t="s">
        <v>46</v>
      </c>
      <c r="E110">
        <v>2021</v>
      </c>
      <c r="F110">
        <v>30</v>
      </c>
      <c r="G110" t="s">
        <v>17</v>
      </c>
      <c r="H110" t="s">
        <v>14</v>
      </c>
      <c r="I110" t="str">
        <f t="shared" si="4"/>
        <v>United States</v>
      </c>
      <c r="J110" t="s">
        <v>47</v>
      </c>
      <c r="K110" t="s">
        <v>48</v>
      </c>
      <c r="L110" t="s">
        <v>49</v>
      </c>
      <c r="M110" t="s">
        <v>79</v>
      </c>
      <c r="N110">
        <v>4</v>
      </c>
      <c r="O110">
        <v>420</v>
      </c>
      <c r="P110">
        <v>769</v>
      </c>
      <c r="Q110">
        <v>1396</v>
      </c>
      <c r="R110">
        <f t="shared" si="5"/>
        <v>1680</v>
      </c>
      <c r="S110">
        <f t="shared" si="6"/>
        <v>3076</v>
      </c>
    </row>
    <row r="111" spans="1:19">
      <c r="A111" t="s">
        <v>80</v>
      </c>
      <c r="B111">
        <v>44537</v>
      </c>
      <c r="C111">
        <v>7</v>
      </c>
      <c r="D111" t="s">
        <v>46</v>
      </c>
      <c r="E111">
        <v>2021</v>
      </c>
      <c r="F111">
        <v>38</v>
      </c>
      <c r="G111" t="s">
        <v>16</v>
      </c>
      <c r="H111" t="s">
        <v>14</v>
      </c>
      <c r="I111" t="str">
        <f t="shared" si="4"/>
        <v>United States</v>
      </c>
      <c r="J111" t="s">
        <v>47</v>
      </c>
      <c r="K111" t="s">
        <v>48</v>
      </c>
      <c r="L111" t="s">
        <v>49</v>
      </c>
      <c r="M111" t="s">
        <v>53</v>
      </c>
      <c r="N111">
        <v>2</v>
      </c>
      <c r="O111">
        <v>1266</v>
      </c>
      <c r="P111">
        <v>2320</v>
      </c>
      <c r="Q111">
        <v>2108</v>
      </c>
      <c r="R111">
        <f t="shared" si="5"/>
        <v>2532</v>
      </c>
      <c r="S111">
        <f t="shared" si="6"/>
        <v>4640</v>
      </c>
    </row>
    <row r="112" spans="1:19">
      <c r="A112" t="s">
        <v>81</v>
      </c>
      <c r="B112">
        <v>44538</v>
      </c>
      <c r="C112">
        <v>8</v>
      </c>
      <c r="D112" t="s">
        <v>46</v>
      </c>
      <c r="E112">
        <v>2021</v>
      </c>
      <c r="F112">
        <v>19</v>
      </c>
      <c r="G112" t="s">
        <v>18</v>
      </c>
      <c r="H112" t="s">
        <v>13</v>
      </c>
      <c r="I112" t="str">
        <f t="shared" si="4"/>
        <v>Australia</v>
      </c>
      <c r="J112" t="s">
        <v>57</v>
      </c>
      <c r="K112" t="s">
        <v>48</v>
      </c>
      <c r="L112" t="s">
        <v>49</v>
      </c>
      <c r="M112" t="s">
        <v>82</v>
      </c>
      <c r="N112">
        <v>4</v>
      </c>
      <c r="O112">
        <v>308</v>
      </c>
      <c r="P112">
        <v>565</v>
      </c>
      <c r="Q112">
        <v>1028</v>
      </c>
      <c r="R112">
        <f t="shared" si="5"/>
        <v>1232</v>
      </c>
      <c r="S112">
        <f t="shared" si="6"/>
        <v>2260</v>
      </c>
    </row>
    <row r="113" spans="1:19">
      <c r="A113" t="s">
        <v>83</v>
      </c>
      <c r="B113">
        <v>44538</v>
      </c>
      <c r="C113">
        <v>8</v>
      </c>
      <c r="D113" t="s">
        <v>46</v>
      </c>
      <c r="E113">
        <v>2021</v>
      </c>
      <c r="F113">
        <v>30</v>
      </c>
      <c r="G113" t="s">
        <v>17</v>
      </c>
      <c r="H113" t="s">
        <v>13</v>
      </c>
      <c r="I113" t="str">
        <f t="shared" si="4"/>
        <v>Canada</v>
      </c>
      <c r="J113" t="s">
        <v>74</v>
      </c>
      <c r="K113" t="s">
        <v>48</v>
      </c>
      <c r="L113" t="s">
        <v>49</v>
      </c>
      <c r="M113" t="s">
        <v>70</v>
      </c>
      <c r="N113">
        <v>4</v>
      </c>
      <c r="O113">
        <v>1266</v>
      </c>
      <c r="P113">
        <v>2320</v>
      </c>
      <c r="Q113">
        <v>4216</v>
      </c>
      <c r="R113">
        <f t="shared" si="5"/>
        <v>5064</v>
      </c>
      <c r="S113">
        <f t="shared" si="6"/>
        <v>9280</v>
      </c>
    </row>
    <row r="114" spans="1:19">
      <c r="A114" t="s">
        <v>84</v>
      </c>
      <c r="B114">
        <v>44538</v>
      </c>
      <c r="C114">
        <v>8</v>
      </c>
      <c r="D114" t="s">
        <v>46</v>
      </c>
      <c r="E114">
        <v>2021</v>
      </c>
      <c r="F114">
        <v>39</v>
      </c>
      <c r="G114" t="s">
        <v>16</v>
      </c>
      <c r="H114" t="s">
        <v>13</v>
      </c>
      <c r="I114" t="str">
        <f t="shared" si="4"/>
        <v>United States</v>
      </c>
      <c r="J114" t="s">
        <v>85</v>
      </c>
      <c r="K114" t="s">
        <v>48</v>
      </c>
      <c r="L114" t="s">
        <v>49</v>
      </c>
      <c r="M114" t="s">
        <v>86</v>
      </c>
      <c r="N114">
        <v>2</v>
      </c>
      <c r="O114">
        <v>1252</v>
      </c>
      <c r="P114">
        <v>2295</v>
      </c>
      <c r="Q114">
        <v>2086</v>
      </c>
      <c r="R114">
        <f t="shared" si="5"/>
        <v>2504</v>
      </c>
      <c r="S114">
        <f t="shared" si="6"/>
        <v>4590</v>
      </c>
    </row>
    <row r="115" spans="1:19">
      <c r="A115" t="s">
        <v>87</v>
      </c>
      <c r="B115">
        <v>44538</v>
      </c>
      <c r="C115">
        <v>8</v>
      </c>
      <c r="D115" t="s">
        <v>46</v>
      </c>
      <c r="E115">
        <v>2021</v>
      </c>
      <c r="F115">
        <v>35</v>
      </c>
      <c r="G115" t="s">
        <v>16</v>
      </c>
      <c r="H115" t="s">
        <v>13</v>
      </c>
      <c r="I115" t="str">
        <f t="shared" si="4"/>
        <v>United States</v>
      </c>
      <c r="J115" t="s">
        <v>47</v>
      </c>
      <c r="K115" t="s">
        <v>48</v>
      </c>
      <c r="L115" t="s">
        <v>49</v>
      </c>
      <c r="M115" t="s">
        <v>86</v>
      </c>
      <c r="N115">
        <v>1</v>
      </c>
      <c r="O115">
        <v>295</v>
      </c>
      <c r="P115">
        <v>540</v>
      </c>
      <c r="Q115">
        <v>245</v>
      </c>
      <c r="R115">
        <f t="shared" si="5"/>
        <v>295</v>
      </c>
      <c r="S115">
        <f t="shared" si="6"/>
        <v>540</v>
      </c>
    </row>
    <row r="116" spans="1:19">
      <c r="A116" t="s">
        <v>88</v>
      </c>
      <c r="B116">
        <v>44539</v>
      </c>
      <c r="C116">
        <v>9</v>
      </c>
      <c r="D116" t="s">
        <v>46</v>
      </c>
      <c r="E116">
        <v>2021</v>
      </c>
      <c r="F116">
        <v>33</v>
      </c>
      <c r="G116" t="s">
        <v>17</v>
      </c>
      <c r="H116" t="s">
        <v>13</v>
      </c>
      <c r="I116" t="str">
        <f t="shared" si="4"/>
        <v>Australia</v>
      </c>
      <c r="J116" t="s">
        <v>89</v>
      </c>
      <c r="K116" t="s">
        <v>48</v>
      </c>
      <c r="L116" t="s">
        <v>49</v>
      </c>
      <c r="M116" t="s">
        <v>90</v>
      </c>
      <c r="N116">
        <v>2</v>
      </c>
      <c r="O116">
        <v>1898</v>
      </c>
      <c r="P116">
        <v>3375</v>
      </c>
      <c r="Q116">
        <v>2954</v>
      </c>
      <c r="R116">
        <f t="shared" si="5"/>
        <v>3796</v>
      </c>
      <c r="S116">
        <f t="shared" si="6"/>
        <v>6750</v>
      </c>
    </row>
    <row r="117" spans="1:19">
      <c r="A117" t="s">
        <v>91</v>
      </c>
      <c r="B117">
        <v>44539</v>
      </c>
      <c r="C117">
        <v>9</v>
      </c>
      <c r="D117" t="s">
        <v>46</v>
      </c>
      <c r="E117">
        <v>2021</v>
      </c>
      <c r="F117">
        <v>41</v>
      </c>
      <c r="G117" t="s">
        <v>16</v>
      </c>
      <c r="H117" t="s">
        <v>13</v>
      </c>
      <c r="I117" t="str">
        <f t="shared" si="4"/>
        <v>Germany</v>
      </c>
      <c r="J117" t="s">
        <v>92</v>
      </c>
      <c r="K117" t="s">
        <v>48</v>
      </c>
      <c r="L117" t="s">
        <v>49</v>
      </c>
      <c r="M117" t="s">
        <v>53</v>
      </c>
      <c r="N117">
        <v>1</v>
      </c>
      <c r="O117">
        <v>1266</v>
      </c>
      <c r="P117">
        <v>2320</v>
      </c>
      <c r="Q117">
        <v>1054</v>
      </c>
      <c r="R117">
        <f t="shared" si="5"/>
        <v>1266</v>
      </c>
      <c r="S117">
        <f t="shared" si="6"/>
        <v>2320</v>
      </c>
    </row>
    <row r="118" spans="1:19">
      <c r="A118" t="s">
        <v>93</v>
      </c>
      <c r="B118">
        <v>44540</v>
      </c>
      <c r="C118">
        <v>10</v>
      </c>
      <c r="D118" t="s">
        <v>46</v>
      </c>
      <c r="E118">
        <v>2021</v>
      </c>
      <c r="F118">
        <v>34</v>
      </c>
      <c r="G118" t="s">
        <v>17</v>
      </c>
      <c r="H118" t="s">
        <v>13</v>
      </c>
      <c r="I118" t="str">
        <f t="shared" si="4"/>
        <v>United States</v>
      </c>
      <c r="J118" t="s">
        <v>47</v>
      </c>
      <c r="K118" t="s">
        <v>48</v>
      </c>
      <c r="L118" t="s">
        <v>49</v>
      </c>
      <c r="M118" t="s">
        <v>76</v>
      </c>
      <c r="N118">
        <v>2</v>
      </c>
      <c r="O118">
        <v>1252</v>
      </c>
      <c r="P118">
        <v>2295</v>
      </c>
      <c r="Q118">
        <v>2086</v>
      </c>
      <c r="R118">
        <f t="shared" si="5"/>
        <v>2504</v>
      </c>
      <c r="S118">
        <f t="shared" si="6"/>
        <v>4590</v>
      </c>
    </row>
    <row r="119" spans="1:19">
      <c r="A119" t="s">
        <v>94</v>
      </c>
      <c r="B119">
        <v>44540</v>
      </c>
      <c r="C119">
        <v>10</v>
      </c>
      <c r="D119" t="s">
        <v>46</v>
      </c>
      <c r="E119">
        <v>2021</v>
      </c>
      <c r="F119">
        <v>40</v>
      </c>
      <c r="G119" t="s">
        <v>16</v>
      </c>
      <c r="H119" t="s">
        <v>14</v>
      </c>
      <c r="I119" t="str">
        <f t="shared" si="4"/>
        <v>Australia</v>
      </c>
      <c r="J119" t="s">
        <v>57</v>
      </c>
      <c r="K119" t="s">
        <v>48</v>
      </c>
      <c r="L119" t="s">
        <v>49</v>
      </c>
      <c r="M119" t="s">
        <v>76</v>
      </c>
      <c r="N119">
        <v>2</v>
      </c>
      <c r="O119">
        <v>1252</v>
      </c>
      <c r="P119">
        <v>2295</v>
      </c>
      <c r="Q119">
        <v>2086</v>
      </c>
      <c r="R119">
        <f t="shared" si="5"/>
        <v>2504</v>
      </c>
      <c r="S119">
        <f t="shared" si="6"/>
        <v>4590</v>
      </c>
    </row>
    <row r="120" spans="1:19">
      <c r="A120" t="s">
        <v>95</v>
      </c>
      <c r="B120">
        <v>44540</v>
      </c>
      <c r="C120">
        <v>10</v>
      </c>
      <c r="D120" t="s">
        <v>46</v>
      </c>
      <c r="E120">
        <v>2021</v>
      </c>
      <c r="F120">
        <v>26</v>
      </c>
      <c r="G120" t="s">
        <v>17</v>
      </c>
      <c r="H120" t="s">
        <v>14</v>
      </c>
      <c r="I120" t="str">
        <f t="shared" si="4"/>
        <v>United Kingdom</v>
      </c>
      <c r="J120" t="s">
        <v>52</v>
      </c>
      <c r="K120" t="s">
        <v>48</v>
      </c>
      <c r="L120" t="s">
        <v>49</v>
      </c>
      <c r="M120" t="s">
        <v>61</v>
      </c>
      <c r="N120">
        <v>1</v>
      </c>
      <c r="O120">
        <v>1252</v>
      </c>
      <c r="P120">
        <v>2295</v>
      </c>
      <c r="Q120">
        <v>1043</v>
      </c>
      <c r="R120">
        <f t="shared" si="5"/>
        <v>1252</v>
      </c>
      <c r="S120">
        <f t="shared" si="6"/>
        <v>2295</v>
      </c>
    </row>
    <row r="121" spans="1:19">
      <c r="A121" t="s">
        <v>96</v>
      </c>
      <c r="B121">
        <v>44540</v>
      </c>
      <c r="C121">
        <v>10</v>
      </c>
      <c r="D121" t="s">
        <v>46</v>
      </c>
      <c r="E121">
        <v>2021</v>
      </c>
      <c r="F121">
        <v>34</v>
      </c>
      <c r="G121" t="s">
        <v>17</v>
      </c>
      <c r="H121" t="s">
        <v>14</v>
      </c>
      <c r="I121" t="str">
        <f t="shared" si="4"/>
        <v>United States</v>
      </c>
      <c r="J121" t="s">
        <v>47</v>
      </c>
      <c r="K121" t="s">
        <v>48</v>
      </c>
      <c r="L121" t="s">
        <v>49</v>
      </c>
      <c r="M121" t="s">
        <v>97</v>
      </c>
      <c r="N121">
        <v>1</v>
      </c>
      <c r="O121">
        <v>295</v>
      </c>
      <c r="P121">
        <v>540</v>
      </c>
      <c r="Q121">
        <v>245</v>
      </c>
      <c r="R121">
        <f t="shared" si="5"/>
        <v>295</v>
      </c>
      <c r="S121">
        <f t="shared" si="6"/>
        <v>540</v>
      </c>
    </row>
    <row r="122" spans="1:19">
      <c r="A122" t="s">
        <v>98</v>
      </c>
      <c r="B122">
        <v>44540</v>
      </c>
      <c r="C122">
        <v>10</v>
      </c>
      <c r="D122" t="s">
        <v>46</v>
      </c>
      <c r="E122">
        <v>2021</v>
      </c>
      <c r="F122">
        <v>34</v>
      </c>
      <c r="G122" t="s">
        <v>17</v>
      </c>
      <c r="H122" t="s">
        <v>13</v>
      </c>
      <c r="I122" t="str">
        <f t="shared" si="4"/>
        <v>United States</v>
      </c>
      <c r="J122" t="s">
        <v>63</v>
      </c>
      <c r="K122" t="s">
        <v>48</v>
      </c>
      <c r="L122" t="s">
        <v>49</v>
      </c>
      <c r="M122" t="s">
        <v>99</v>
      </c>
      <c r="N122">
        <v>1</v>
      </c>
      <c r="O122">
        <v>1912</v>
      </c>
      <c r="P122">
        <v>3400</v>
      </c>
      <c r="Q122">
        <v>1488</v>
      </c>
      <c r="R122">
        <f t="shared" si="5"/>
        <v>1912</v>
      </c>
      <c r="S122">
        <f t="shared" si="6"/>
        <v>3400</v>
      </c>
    </row>
    <row r="123" spans="1:19">
      <c r="A123" t="s">
        <v>100</v>
      </c>
      <c r="B123">
        <v>44540</v>
      </c>
      <c r="C123">
        <v>10</v>
      </c>
      <c r="D123" t="s">
        <v>46</v>
      </c>
      <c r="E123">
        <v>2021</v>
      </c>
      <c r="F123">
        <v>38</v>
      </c>
      <c r="G123" t="s">
        <v>16</v>
      </c>
      <c r="H123" t="s">
        <v>14</v>
      </c>
      <c r="I123" t="str">
        <f t="shared" si="4"/>
        <v>Australia</v>
      </c>
      <c r="J123" t="s">
        <v>57</v>
      </c>
      <c r="K123" t="s">
        <v>48</v>
      </c>
      <c r="L123" t="s">
        <v>49</v>
      </c>
      <c r="M123" t="s">
        <v>61</v>
      </c>
      <c r="N123">
        <v>1</v>
      </c>
      <c r="O123">
        <v>1252</v>
      </c>
      <c r="P123">
        <v>2295</v>
      </c>
      <c r="Q123">
        <v>1043</v>
      </c>
      <c r="R123">
        <f t="shared" si="5"/>
        <v>1252</v>
      </c>
      <c r="S123">
        <f t="shared" si="6"/>
        <v>2295</v>
      </c>
    </row>
    <row r="124" spans="1:19">
      <c r="A124" t="s">
        <v>101</v>
      </c>
      <c r="B124">
        <v>44541</v>
      </c>
      <c r="C124">
        <v>11</v>
      </c>
      <c r="D124" t="s">
        <v>46</v>
      </c>
      <c r="E124">
        <v>2021</v>
      </c>
      <c r="F124">
        <v>24</v>
      </c>
      <c r="G124" t="s">
        <v>18</v>
      </c>
      <c r="H124" t="s">
        <v>13</v>
      </c>
      <c r="I124" t="str">
        <f t="shared" si="4"/>
        <v>France</v>
      </c>
      <c r="J124" t="s">
        <v>102</v>
      </c>
      <c r="K124" t="s">
        <v>48</v>
      </c>
      <c r="L124" t="s">
        <v>49</v>
      </c>
      <c r="M124" t="s">
        <v>61</v>
      </c>
      <c r="N124">
        <v>3</v>
      </c>
      <c r="O124">
        <v>1252</v>
      </c>
      <c r="P124">
        <v>2295</v>
      </c>
      <c r="Q124">
        <v>3129</v>
      </c>
      <c r="R124">
        <f t="shared" si="5"/>
        <v>3756</v>
      </c>
      <c r="S124">
        <f t="shared" si="6"/>
        <v>6885</v>
      </c>
    </row>
    <row r="125" spans="1:19">
      <c r="A125" t="s">
        <v>103</v>
      </c>
      <c r="B125">
        <v>44541</v>
      </c>
      <c r="C125">
        <v>11</v>
      </c>
      <c r="D125" t="s">
        <v>46</v>
      </c>
      <c r="E125">
        <v>2021</v>
      </c>
      <c r="F125">
        <v>41</v>
      </c>
      <c r="G125" t="s">
        <v>16</v>
      </c>
      <c r="H125" t="s">
        <v>13</v>
      </c>
      <c r="I125" t="str">
        <f t="shared" si="4"/>
        <v>Australia</v>
      </c>
      <c r="J125" t="s">
        <v>57</v>
      </c>
      <c r="K125" t="s">
        <v>48</v>
      </c>
      <c r="L125" t="s">
        <v>49</v>
      </c>
      <c r="M125" t="s">
        <v>79</v>
      </c>
      <c r="N125">
        <v>2</v>
      </c>
      <c r="O125">
        <v>420</v>
      </c>
      <c r="P125">
        <v>769</v>
      </c>
      <c r="Q125">
        <v>698</v>
      </c>
      <c r="R125">
        <f t="shared" si="5"/>
        <v>840</v>
      </c>
      <c r="S125">
        <f t="shared" si="6"/>
        <v>1538</v>
      </c>
    </row>
    <row r="126" spans="1:19">
      <c r="A126" t="s">
        <v>104</v>
      </c>
      <c r="B126">
        <v>44541</v>
      </c>
      <c r="C126">
        <v>11</v>
      </c>
      <c r="D126" t="s">
        <v>46</v>
      </c>
      <c r="E126">
        <v>2021</v>
      </c>
      <c r="F126">
        <v>27</v>
      </c>
      <c r="G126" t="s">
        <v>17</v>
      </c>
      <c r="H126" t="s">
        <v>14</v>
      </c>
      <c r="I126" t="str">
        <f t="shared" si="4"/>
        <v>Canada</v>
      </c>
      <c r="J126" t="s">
        <v>74</v>
      </c>
      <c r="K126" t="s">
        <v>48</v>
      </c>
      <c r="L126" t="s">
        <v>49</v>
      </c>
      <c r="M126" t="s">
        <v>50</v>
      </c>
      <c r="N126">
        <v>1</v>
      </c>
      <c r="O126">
        <v>1252</v>
      </c>
      <c r="P126">
        <v>2295</v>
      </c>
      <c r="Q126">
        <v>1043</v>
      </c>
      <c r="R126">
        <f t="shared" si="5"/>
        <v>1252</v>
      </c>
      <c r="S126">
        <f t="shared" si="6"/>
        <v>2295</v>
      </c>
    </row>
    <row r="127" spans="1:19">
      <c r="A127" t="s">
        <v>105</v>
      </c>
      <c r="B127">
        <v>44541</v>
      </c>
      <c r="C127">
        <v>11</v>
      </c>
      <c r="D127" t="s">
        <v>46</v>
      </c>
      <c r="E127">
        <v>2021</v>
      </c>
      <c r="F127">
        <v>37</v>
      </c>
      <c r="G127" t="s">
        <v>16</v>
      </c>
      <c r="H127" t="s">
        <v>14</v>
      </c>
      <c r="I127" t="str">
        <f t="shared" si="4"/>
        <v>United States</v>
      </c>
      <c r="J127" t="s">
        <v>47</v>
      </c>
      <c r="K127" t="s">
        <v>48</v>
      </c>
      <c r="L127" t="s">
        <v>49</v>
      </c>
      <c r="M127" t="s">
        <v>55</v>
      </c>
      <c r="N127">
        <v>1</v>
      </c>
      <c r="O127">
        <v>420</v>
      </c>
      <c r="P127">
        <v>769</v>
      </c>
      <c r="Q127">
        <v>349</v>
      </c>
      <c r="R127">
        <f t="shared" si="5"/>
        <v>420</v>
      </c>
      <c r="S127">
        <f t="shared" si="6"/>
        <v>769</v>
      </c>
    </row>
    <row r="128" spans="1:19">
      <c r="A128" t="s">
        <v>106</v>
      </c>
      <c r="B128">
        <v>44541</v>
      </c>
      <c r="C128">
        <v>11</v>
      </c>
      <c r="D128" t="s">
        <v>46</v>
      </c>
      <c r="E128">
        <v>2021</v>
      </c>
      <c r="F128">
        <v>38</v>
      </c>
      <c r="G128" t="s">
        <v>16</v>
      </c>
      <c r="H128" t="s">
        <v>13</v>
      </c>
      <c r="I128" t="str">
        <f t="shared" si="4"/>
        <v>United States</v>
      </c>
      <c r="J128" t="s">
        <v>47</v>
      </c>
      <c r="K128" t="s">
        <v>48</v>
      </c>
      <c r="L128" t="s">
        <v>49</v>
      </c>
      <c r="M128" t="s">
        <v>70</v>
      </c>
      <c r="N128">
        <v>1</v>
      </c>
      <c r="O128">
        <v>1266</v>
      </c>
      <c r="P128">
        <v>2320</v>
      </c>
      <c r="Q128">
        <v>1054</v>
      </c>
      <c r="R128">
        <f t="shared" si="5"/>
        <v>1266</v>
      </c>
      <c r="S128">
        <f t="shared" si="6"/>
        <v>2320</v>
      </c>
    </row>
    <row r="129" spans="1:19">
      <c r="A129" t="s">
        <v>107</v>
      </c>
      <c r="B129">
        <v>44542</v>
      </c>
      <c r="C129">
        <v>12</v>
      </c>
      <c r="D129" t="s">
        <v>46</v>
      </c>
      <c r="E129">
        <v>2021</v>
      </c>
      <c r="F129">
        <v>36</v>
      </c>
      <c r="G129" t="s">
        <v>16</v>
      </c>
      <c r="H129" t="s">
        <v>13</v>
      </c>
      <c r="I129" t="str">
        <f t="shared" si="4"/>
        <v>Australia</v>
      </c>
      <c r="J129" t="s">
        <v>57</v>
      </c>
      <c r="K129" t="s">
        <v>48</v>
      </c>
      <c r="L129" t="s">
        <v>49</v>
      </c>
      <c r="M129" t="s">
        <v>53</v>
      </c>
      <c r="N129">
        <v>4</v>
      </c>
      <c r="O129">
        <v>1266</v>
      </c>
      <c r="P129">
        <v>2320</v>
      </c>
      <c r="Q129">
        <v>4216</v>
      </c>
      <c r="R129">
        <f t="shared" si="5"/>
        <v>5064</v>
      </c>
      <c r="S129">
        <f t="shared" si="6"/>
        <v>9280</v>
      </c>
    </row>
    <row r="130" spans="1:19">
      <c r="A130" t="s">
        <v>108</v>
      </c>
      <c r="B130">
        <v>44542</v>
      </c>
      <c r="C130">
        <v>12</v>
      </c>
      <c r="D130" t="s">
        <v>46</v>
      </c>
      <c r="E130">
        <v>2021</v>
      </c>
      <c r="F130">
        <v>37</v>
      </c>
      <c r="G130" t="s">
        <v>16</v>
      </c>
      <c r="H130" t="s">
        <v>14</v>
      </c>
      <c r="I130" t="str">
        <f t="shared" si="4"/>
        <v>United States</v>
      </c>
      <c r="J130" t="s">
        <v>47</v>
      </c>
      <c r="K130" t="s">
        <v>48</v>
      </c>
      <c r="L130" t="s">
        <v>49</v>
      </c>
      <c r="M130" t="s">
        <v>55</v>
      </c>
      <c r="N130">
        <v>4</v>
      </c>
      <c r="O130">
        <v>420</v>
      </c>
      <c r="P130">
        <v>769</v>
      </c>
      <c r="Q130">
        <v>1396</v>
      </c>
      <c r="R130">
        <f t="shared" si="5"/>
        <v>1680</v>
      </c>
      <c r="S130">
        <f t="shared" si="6"/>
        <v>3076</v>
      </c>
    </row>
    <row r="131" spans="1:19">
      <c r="A131" t="s">
        <v>109</v>
      </c>
      <c r="B131">
        <v>44542</v>
      </c>
      <c r="C131">
        <v>12</v>
      </c>
      <c r="D131" t="s">
        <v>46</v>
      </c>
      <c r="E131">
        <v>2021</v>
      </c>
      <c r="F131">
        <v>34</v>
      </c>
      <c r="G131" t="s">
        <v>17</v>
      </c>
      <c r="H131" t="s">
        <v>14</v>
      </c>
      <c r="I131" t="str">
        <f t="shared" si="4"/>
        <v>Australia</v>
      </c>
      <c r="J131" t="s">
        <v>57</v>
      </c>
      <c r="K131" t="s">
        <v>48</v>
      </c>
      <c r="L131" t="s">
        <v>49</v>
      </c>
      <c r="M131" t="s">
        <v>61</v>
      </c>
      <c r="N131">
        <v>2</v>
      </c>
      <c r="O131">
        <v>1252</v>
      </c>
      <c r="P131">
        <v>2295</v>
      </c>
      <c r="Q131">
        <v>2086</v>
      </c>
      <c r="R131">
        <f t="shared" si="5"/>
        <v>2504</v>
      </c>
      <c r="S131">
        <f t="shared" si="6"/>
        <v>4590</v>
      </c>
    </row>
    <row r="132" spans="1:19">
      <c r="A132" t="s">
        <v>110</v>
      </c>
      <c r="B132">
        <v>44542</v>
      </c>
      <c r="C132">
        <v>12</v>
      </c>
      <c r="D132" t="s">
        <v>46</v>
      </c>
      <c r="E132">
        <v>2021</v>
      </c>
      <c r="F132">
        <v>35</v>
      </c>
      <c r="G132" t="s">
        <v>16</v>
      </c>
      <c r="H132" t="s">
        <v>13</v>
      </c>
      <c r="I132" t="str">
        <f t="shared" si="4"/>
        <v>Australia</v>
      </c>
      <c r="J132" t="s">
        <v>89</v>
      </c>
      <c r="K132" t="s">
        <v>48</v>
      </c>
      <c r="L132" t="s">
        <v>49</v>
      </c>
      <c r="M132" t="s">
        <v>53</v>
      </c>
      <c r="N132">
        <v>1</v>
      </c>
      <c r="O132">
        <v>1266</v>
      </c>
      <c r="P132">
        <v>2320</v>
      </c>
      <c r="Q132">
        <v>1054</v>
      </c>
      <c r="R132">
        <f t="shared" si="5"/>
        <v>1266</v>
      </c>
      <c r="S132">
        <f t="shared" si="6"/>
        <v>2320</v>
      </c>
    </row>
    <row r="133" spans="1:19">
      <c r="A133" t="s">
        <v>111</v>
      </c>
      <c r="B133">
        <v>44542</v>
      </c>
      <c r="C133">
        <v>12</v>
      </c>
      <c r="D133" t="s">
        <v>46</v>
      </c>
      <c r="E133">
        <v>2021</v>
      </c>
      <c r="F133">
        <v>38</v>
      </c>
      <c r="G133" t="s">
        <v>16</v>
      </c>
      <c r="H133" t="s">
        <v>13</v>
      </c>
      <c r="I133" t="str">
        <f t="shared" si="4"/>
        <v>United States</v>
      </c>
      <c r="J133" t="s">
        <v>63</v>
      </c>
      <c r="K133" t="s">
        <v>48</v>
      </c>
      <c r="L133" t="s">
        <v>49</v>
      </c>
      <c r="M133" t="s">
        <v>53</v>
      </c>
      <c r="N133">
        <v>1</v>
      </c>
      <c r="O133">
        <v>1266</v>
      </c>
      <c r="P133">
        <v>2320</v>
      </c>
      <c r="Q133">
        <v>1054</v>
      </c>
      <c r="R133">
        <f t="shared" si="5"/>
        <v>1266</v>
      </c>
      <c r="S133">
        <f t="shared" si="6"/>
        <v>2320</v>
      </c>
    </row>
    <row r="134" spans="1:19">
      <c r="A134" t="s">
        <v>112</v>
      </c>
      <c r="B134">
        <v>44543</v>
      </c>
      <c r="C134">
        <v>13</v>
      </c>
      <c r="D134" t="s">
        <v>46</v>
      </c>
      <c r="E134">
        <v>2021</v>
      </c>
      <c r="F134">
        <v>32</v>
      </c>
      <c r="G134" t="s">
        <v>17</v>
      </c>
      <c r="H134" t="s">
        <v>13</v>
      </c>
      <c r="I134" t="str">
        <f t="shared" si="4"/>
        <v>Australia</v>
      </c>
      <c r="J134" t="s">
        <v>69</v>
      </c>
      <c r="K134" t="s">
        <v>48</v>
      </c>
      <c r="L134" t="s">
        <v>49</v>
      </c>
      <c r="M134" t="s">
        <v>53</v>
      </c>
      <c r="N134">
        <v>3</v>
      </c>
      <c r="O134">
        <v>1266</v>
      </c>
      <c r="P134">
        <v>2320</v>
      </c>
      <c r="Q134">
        <v>3162</v>
      </c>
      <c r="R134">
        <f t="shared" si="5"/>
        <v>3798</v>
      </c>
      <c r="S134">
        <f t="shared" si="6"/>
        <v>6960</v>
      </c>
    </row>
    <row r="135" spans="1:19">
      <c r="A135" t="s">
        <v>113</v>
      </c>
      <c r="B135">
        <v>44543</v>
      </c>
      <c r="C135">
        <v>13</v>
      </c>
      <c r="D135" t="s">
        <v>46</v>
      </c>
      <c r="E135">
        <v>2021</v>
      </c>
      <c r="F135">
        <v>40</v>
      </c>
      <c r="G135" t="s">
        <v>16</v>
      </c>
      <c r="H135" t="s">
        <v>13</v>
      </c>
      <c r="I135" t="str">
        <f t="shared" si="4"/>
        <v>United States</v>
      </c>
      <c r="J135" t="s">
        <v>47</v>
      </c>
      <c r="K135" t="s">
        <v>48</v>
      </c>
      <c r="L135" t="s">
        <v>49</v>
      </c>
      <c r="M135" t="s">
        <v>114</v>
      </c>
      <c r="N135">
        <v>1</v>
      </c>
      <c r="O135">
        <v>308</v>
      </c>
      <c r="P135">
        <v>565</v>
      </c>
      <c r="Q135">
        <v>257</v>
      </c>
      <c r="R135">
        <f t="shared" si="5"/>
        <v>308</v>
      </c>
      <c r="S135">
        <f t="shared" si="6"/>
        <v>565</v>
      </c>
    </row>
    <row r="136" spans="1:19">
      <c r="A136" t="s">
        <v>115</v>
      </c>
      <c r="B136">
        <v>44543</v>
      </c>
      <c r="C136">
        <v>13</v>
      </c>
      <c r="D136" t="s">
        <v>46</v>
      </c>
      <c r="E136">
        <v>2021</v>
      </c>
      <c r="F136">
        <v>44</v>
      </c>
      <c r="G136" t="s">
        <v>16</v>
      </c>
      <c r="H136" t="s">
        <v>13</v>
      </c>
      <c r="I136" t="str">
        <f t="shared" si="4"/>
        <v>United Kingdom</v>
      </c>
      <c r="J136" t="s">
        <v>52</v>
      </c>
      <c r="K136" t="s">
        <v>48</v>
      </c>
      <c r="L136" t="s">
        <v>49</v>
      </c>
      <c r="M136" t="s">
        <v>61</v>
      </c>
      <c r="N136">
        <v>1</v>
      </c>
      <c r="O136">
        <v>1252</v>
      </c>
      <c r="P136">
        <v>2295</v>
      </c>
      <c r="Q136">
        <v>1043</v>
      </c>
      <c r="R136">
        <f t="shared" si="5"/>
        <v>1252</v>
      </c>
      <c r="S136">
        <f t="shared" si="6"/>
        <v>2295</v>
      </c>
    </row>
    <row r="137" spans="1:19">
      <c r="A137" t="s">
        <v>116</v>
      </c>
      <c r="B137">
        <v>44543</v>
      </c>
      <c r="C137">
        <v>13</v>
      </c>
      <c r="D137" t="s">
        <v>46</v>
      </c>
      <c r="E137">
        <v>2021</v>
      </c>
      <c r="F137">
        <v>49</v>
      </c>
      <c r="G137" t="s">
        <v>16</v>
      </c>
      <c r="H137" t="s">
        <v>14</v>
      </c>
      <c r="I137" t="str">
        <f t="shared" si="4"/>
        <v>United Kingdom</v>
      </c>
      <c r="J137" t="s">
        <v>52</v>
      </c>
      <c r="K137" t="s">
        <v>48</v>
      </c>
      <c r="L137" t="s">
        <v>49</v>
      </c>
      <c r="M137" t="s">
        <v>61</v>
      </c>
      <c r="N137">
        <v>1</v>
      </c>
      <c r="O137">
        <v>1252</v>
      </c>
      <c r="P137">
        <v>2295</v>
      </c>
      <c r="Q137">
        <v>1043</v>
      </c>
      <c r="R137">
        <f t="shared" si="5"/>
        <v>1252</v>
      </c>
      <c r="S137">
        <f t="shared" si="6"/>
        <v>2295</v>
      </c>
    </row>
    <row r="138" spans="1:19">
      <c r="A138" t="s">
        <v>117</v>
      </c>
      <c r="B138">
        <v>44544</v>
      </c>
      <c r="C138">
        <v>14</v>
      </c>
      <c r="D138" t="s">
        <v>46</v>
      </c>
      <c r="E138">
        <v>2021</v>
      </c>
      <c r="F138">
        <v>30</v>
      </c>
      <c r="G138" t="s">
        <v>17</v>
      </c>
      <c r="H138" t="s">
        <v>13</v>
      </c>
      <c r="I138" t="str">
        <f t="shared" si="4"/>
        <v>United States</v>
      </c>
      <c r="J138" t="s">
        <v>63</v>
      </c>
      <c r="K138" t="s">
        <v>48</v>
      </c>
      <c r="L138" t="s">
        <v>49</v>
      </c>
      <c r="M138" t="s">
        <v>70</v>
      </c>
      <c r="N138">
        <v>2</v>
      </c>
      <c r="O138">
        <v>1266</v>
      </c>
      <c r="P138">
        <v>2320</v>
      </c>
      <c r="Q138">
        <v>2108</v>
      </c>
      <c r="R138">
        <f t="shared" si="5"/>
        <v>2532</v>
      </c>
      <c r="S138">
        <f t="shared" si="6"/>
        <v>4640</v>
      </c>
    </row>
    <row r="139" spans="1:19">
      <c r="A139" t="s">
        <v>118</v>
      </c>
      <c r="B139">
        <v>44544</v>
      </c>
      <c r="C139">
        <v>14</v>
      </c>
      <c r="D139" t="s">
        <v>46</v>
      </c>
      <c r="E139">
        <v>2021</v>
      </c>
      <c r="F139">
        <v>32</v>
      </c>
      <c r="G139" t="s">
        <v>17</v>
      </c>
      <c r="H139" t="s">
        <v>14</v>
      </c>
      <c r="I139" t="str">
        <f t="shared" si="4"/>
        <v>United States</v>
      </c>
      <c r="J139" t="s">
        <v>47</v>
      </c>
      <c r="K139" t="s">
        <v>48</v>
      </c>
      <c r="L139" t="s">
        <v>49</v>
      </c>
      <c r="M139" t="s">
        <v>50</v>
      </c>
      <c r="N139">
        <v>1</v>
      </c>
      <c r="O139">
        <v>1252</v>
      </c>
      <c r="P139">
        <v>2295</v>
      </c>
      <c r="Q139">
        <v>1043</v>
      </c>
      <c r="R139">
        <f t="shared" si="5"/>
        <v>1252</v>
      </c>
      <c r="S139">
        <f t="shared" si="6"/>
        <v>2295</v>
      </c>
    </row>
    <row r="140" spans="1:19">
      <c r="A140" t="s">
        <v>119</v>
      </c>
      <c r="B140">
        <v>44544</v>
      </c>
      <c r="C140">
        <v>14</v>
      </c>
      <c r="D140" t="s">
        <v>46</v>
      </c>
      <c r="E140">
        <v>2021</v>
      </c>
      <c r="F140">
        <v>32</v>
      </c>
      <c r="G140" t="s">
        <v>17</v>
      </c>
      <c r="H140" t="s">
        <v>13</v>
      </c>
      <c r="I140" t="str">
        <f t="shared" si="4"/>
        <v>Australia</v>
      </c>
      <c r="J140" t="s">
        <v>89</v>
      </c>
      <c r="K140" t="s">
        <v>48</v>
      </c>
      <c r="L140" t="s">
        <v>49</v>
      </c>
      <c r="M140" t="s">
        <v>55</v>
      </c>
      <c r="N140">
        <v>1</v>
      </c>
      <c r="O140">
        <v>420</v>
      </c>
      <c r="P140">
        <v>769</v>
      </c>
      <c r="Q140">
        <v>349</v>
      </c>
      <c r="R140">
        <f t="shared" si="5"/>
        <v>420</v>
      </c>
      <c r="S140">
        <f t="shared" si="6"/>
        <v>769</v>
      </c>
    </row>
    <row r="141" spans="1:19">
      <c r="A141" t="s">
        <v>120</v>
      </c>
      <c r="B141">
        <v>44545</v>
      </c>
      <c r="C141">
        <v>15</v>
      </c>
      <c r="D141" t="s">
        <v>46</v>
      </c>
      <c r="E141">
        <v>2021</v>
      </c>
      <c r="F141">
        <v>29</v>
      </c>
      <c r="G141" t="s">
        <v>17</v>
      </c>
      <c r="H141" t="s">
        <v>13</v>
      </c>
      <c r="I141" t="str">
        <f t="shared" si="4"/>
        <v>United States</v>
      </c>
      <c r="J141" t="s">
        <v>47</v>
      </c>
      <c r="K141" t="s">
        <v>48</v>
      </c>
      <c r="L141" t="s">
        <v>49</v>
      </c>
      <c r="M141" t="s">
        <v>53</v>
      </c>
      <c r="N141">
        <v>1</v>
      </c>
      <c r="O141">
        <v>1266</v>
      </c>
      <c r="P141">
        <v>2320</v>
      </c>
      <c r="Q141">
        <v>1054</v>
      </c>
      <c r="R141">
        <f t="shared" si="5"/>
        <v>1266</v>
      </c>
      <c r="S141">
        <f t="shared" si="6"/>
        <v>2320</v>
      </c>
    </row>
    <row r="142" spans="1:19">
      <c r="A142" t="s">
        <v>121</v>
      </c>
      <c r="B142">
        <v>44546</v>
      </c>
      <c r="C142">
        <v>16</v>
      </c>
      <c r="D142" t="s">
        <v>46</v>
      </c>
      <c r="E142">
        <v>2021</v>
      </c>
      <c r="F142">
        <v>33</v>
      </c>
      <c r="G142" t="s">
        <v>17</v>
      </c>
      <c r="H142" t="s">
        <v>13</v>
      </c>
      <c r="I142" t="str">
        <f t="shared" si="4"/>
        <v>Australia</v>
      </c>
      <c r="J142" t="s">
        <v>57</v>
      </c>
      <c r="K142" t="s">
        <v>48</v>
      </c>
      <c r="L142" t="s">
        <v>49</v>
      </c>
      <c r="M142" t="s">
        <v>61</v>
      </c>
      <c r="N142">
        <v>2</v>
      </c>
      <c r="O142">
        <v>1252</v>
      </c>
      <c r="P142">
        <v>2295</v>
      </c>
      <c r="Q142">
        <v>2086</v>
      </c>
      <c r="R142">
        <f t="shared" si="5"/>
        <v>2504</v>
      </c>
      <c r="S142">
        <f t="shared" si="6"/>
        <v>4590</v>
      </c>
    </row>
    <row r="143" spans="1:19">
      <c r="A143" t="s">
        <v>122</v>
      </c>
      <c r="B143">
        <v>44546</v>
      </c>
      <c r="C143">
        <v>16</v>
      </c>
      <c r="D143" t="s">
        <v>46</v>
      </c>
      <c r="E143">
        <v>2021</v>
      </c>
      <c r="F143">
        <v>38</v>
      </c>
      <c r="G143" t="s">
        <v>16</v>
      </c>
      <c r="H143" t="s">
        <v>14</v>
      </c>
      <c r="I143" t="str">
        <f t="shared" si="4"/>
        <v>Australia</v>
      </c>
      <c r="J143" t="s">
        <v>57</v>
      </c>
      <c r="K143" t="s">
        <v>48</v>
      </c>
      <c r="L143" t="s">
        <v>49</v>
      </c>
      <c r="M143" t="s">
        <v>61</v>
      </c>
      <c r="N143">
        <v>2</v>
      </c>
      <c r="O143">
        <v>1252</v>
      </c>
      <c r="P143">
        <v>2295</v>
      </c>
      <c r="Q143">
        <v>2086</v>
      </c>
      <c r="R143">
        <f t="shared" si="5"/>
        <v>2504</v>
      </c>
      <c r="S143">
        <f t="shared" si="6"/>
        <v>4590</v>
      </c>
    </row>
    <row r="144" spans="1:19">
      <c r="A144" t="s">
        <v>123</v>
      </c>
      <c r="B144">
        <v>44546</v>
      </c>
      <c r="C144">
        <v>16</v>
      </c>
      <c r="D144" t="s">
        <v>46</v>
      </c>
      <c r="E144">
        <v>2021</v>
      </c>
      <c r="F144">
        <v>27</v>
      </c>
      <c r="G144" t="s">
        <v>17</v>
      </c>
      <c r="H144" t="s">
        <v>13</v>
      </c>
      <c r="I144" t="str">
        <f t="shared" si="4"/>
        <v>France</v>
      </c>
      <c r="J144" t="s">
        <v>124</v>
      </c>
      <c r="K144" t="s">
        <v>48</v>
      </c>
      <c r="L144" t="s">
        <v>49</v>
      </c>
      <c r="M144" t="s">
        <v>125</v>
      </c>
      <c r="N144">
        <v>1</v>
      </c>
      <c r="O144">
        <v>1266</v>
      </c>
      <c r="P144">
        <v>2320</v>
      </c>
      <c r="Q144">
        <v>1054</v>
      </c>
      <c r="R144">
        <f t="shared" si="5"/>
        <v>1266</v>
      </c>
      <c r="S144">
        <f t="shared" si="6"/>
        <v>2320</v>
      </c>
    </row>
    <row r="145" spans="1:19">
      <c r="A145" t="s">
        <v>126</v>
      </c>
      <c r="B145">
        <v>44547</v>
      </c>
      <c r="C145">
        <v>17</v>
      </c>
      <c r="D145" t="s">
        <v>46</v>
      </c>
      <c r="E145">
        <v>2021</v>
      </c>
      <c r="F145">
        <v>37</v>
      </c>
      <c r="G145" t="s">
        <v>16</v>
      </c>
      <c r="H145" t="s">
        <v>13</v>
      </c>
      <c r="I145" t="str">
        <f t="shared" si="4"/>
        <v>United States</v>
      </c>
      <c r="J145" t="s">
        <v>63</v>
      </c>
      <c r="K145" t="s">
        <v>48</v>
      </c>
      <c r="L145" t="s">
        <v>49</v>
      </c>
      <c r="M145" t="s">
        <v>70</v>
      </c>
      <c r="N145">
        <v>2</v>
      </c>
      <c r="O145">
        <v>1266</v>
      </c>
      <c r="P145">
        <v>2320</v>
      </c>
      <c r="Q145">
        <v>2108</v>
      </c>
      <c r="R145">
        <f t="shared" si="5"/>
        <v>2532</v>
      </c>
      <c r="S145">
        <f t="shared" si="6"/>
        <v>4640</v>
      </c>
    </row>
    <row r="146" spans="1:19">
      <c r="A146" t="s">
        <v>127</v>
      </c>
      <c r="B146">
        <v>44547</v>
      </c>
      <c r="C146">
        <v>17</v>
      </c>
      <c r="D146" t="s">
        <v>46</v>
      </c>
      <c r="E146">
        <v>2021</v>
      </c>
      <c r="F146">
        <v>31</v>
      </c>
      <c r="G146" t="s">
        <v>17</v>
      </c>
      <c r="H146" t="s">
        <v>14</v>
      </c>
      <c r="I146" t="str">
        <f t="shared" si="4"/>
        <v>Australia</v>
      </c>
      <c r="J146" t="s">
        <v>57</v>
      </c>
      <c r="K146" t="s">
        <v>48</v>
      </c>
      <c r="L146" t="s">
        <v>49</v>
      </c>
      <c r="M146" t="s">
        <v>58</v>
      </c>
      <c r="N146">
        <v>1</v>
      </c>
      <c r="O146">
        <v>420</v>
      </c>
      <c r="P146">
        <v>769</v>
      </c>
      <c r="Q146">
        <v>349</v>
      </c>
      <c r="R146">
        <f t="shared" si="5"/>
        <v>420</v>
      </c>
      <c r="S146">
        <f t="shared" si="6"/>
        <v>769</v>
      </c>
    </row>
    <row r="147" spans="1:19">
      <c r="A147" t="s">
        <v>128</v>
      </c>
      <c r="B147">
        <v>44547</v>
      </c>
      <c r="C147">
        <v>17</v>
      </c>
      <c r="D147" t="s">
        <v>46</v>
      </c>
      <c r="E147">
        <v>2021</v>
      </c>
      <c r="F147">
        <v>42</v>
      </c>
      <c r="G147" t="s">
        <v>16</v>
      </c>
      <c r="H147" t="s">
        <v>13</v>
      </c>
      <c r="I147" t="str">
        <f t="shared" si="4"/>
        <v>Germany</v>
      </c>
      <c r="J147" t="s">
        <v>67</v>
      </c>
      <c r="K147" t="s">
        <v>48</v>
      </c>
      <c r="L147" t="s">
        <v>49</v>
      </c>
      <c r="M147" t="s">
        <v>125</v>
      </c>
      <c r="N147">
        <v>1</v>
      </c>
      <c r="O147">
        <v>1266</v>
      </c>
      <c r="P147">
        <v>2320</v>
      </c>
      <c r="Q147">
        <v>1054</v>
      </c>
      <c r="R147">
        <f t="shared" si="5"/>
        <v>1266</v>
      </c>
      <c r="S147">
        <f t="shared" si="6"/>
        <v>2320</v>
      </c>
    </row>
    <row r="148" spans="1:19">
      <c r="A148" t="s">
        <v>129</v>
      </c>
      <c r="B148">
        <v>44548</v>
      </c>
      <c r="C148">
        <v>18</v>
      </c>
      <c r="D148" t="s">
        <v>46</v>
      </c>
      <c r="E148">
        <v>2021</v>
      </c>
      <c r="F148">
        <v>35</v>
      </c>
      <c r="G148" t="s">
        <v>16</v>
      </c>
      <c r="H148" t="s">
        <v>13</v>
      </c>
      <c r="I148" t="str">
        <f t="shared" si="4"/>
        <v>Australia</v>
      </c>
      <c r="J148" t="s">
        <v>57</v>
      </c>
      <c r="K148" t="s">
        <v>48</v>
      </c>
      <c r="L148" t="s">
        <v>49</v>
      </c>
      <c r="M148" t="s">
        <v>82</v>
      </c>
      <c r="N148">
        <v>4</v>
      </c>
      <c r="O148">
        <v>308</v>
      </c>
      <c r="P148">
        <v>565</v>
      </c>
      <c r="Q148">
        <v>1028</v>
      </c>
      <c r="R148">
        <f t="shared" si="5"/>
        <v>1232</v>
      </c>
      <c r="S148">
        <f t="shared" si="6"/>
        <v>2260</v>
      </c>
    </row>
    <row r="149" spans="1:19">
      <c r="A149" t="s">
        <v>130</v>
      </c>
      <c r="B149">
        <v>44548</v>
      </c>
      <c r="C149">
        <v>18</v>
      </c>
      <c r="D149" t="s">
        <v>46</v>
      </c>
      <c r="E149">
        <v>2021</v>
      </c>
      <c r="F149">
        <v>38</v>
      </c>
      <c r="G149" t="s">
        <v>16</v>
      </c>
      <c r="H149" t="s">
        <v>13</v>
      </c>
      <c r="I149" t="str">
        <f t="shared" si="4"/>
        <v>Germany</v>
      </c>
      <c r="J149" t="s">
        <v>67</v>
      </c>
      <c r="K149" t="s">
        <v>48</v>
      </c>
      <c r="L149" t="s">
        <v>49</v>
      </c>
      <c r="M149" t="s">
        <v>125</v>
      </c>
      <c r="N149">
        <v>4</v>
      </c>
      <c r="O149">
        <v>1266</v>
      </c>
      <c r="P149">
        <v>2320</v>
      </c>
      <c r="Q149">
        <v>4216</v>
      </c>
      <c r="R149">
        <f t="shared" si="5"/>
        <v>5064</v>
      </c>
      <c r="S149">
        <f t="shared" si="6"/>
        <v>9280</v>
      </c>
    </row>
    <row r="150" spans="1:19">
      <c r="A150" t="s">
        <v>131</v>
      </c>
      <c r="B150">
        <v>44548</v>
      </c>
      <c r="C150">
        <v>18</v>
      </c>
      <c r="D150" t="s">
        <v>46</v>
      </c>
      <c r="E150">
        <v>2021</v>
      </c>
      <c r="F150">
        <v>24</v>
      </c>
      <c r="G150" t="s">
        <v>18</v>
      </c>
      <c r="H150" t="s">
        <v>13</v>
      </c>
      <c r="I150" t="str">
        <f t="shared" si="4"/>
        <v>France</v>
      </c>
      <c r="J150" t="s">
        <v>132</v>
      </c>
      <c r="K150" t="s">
        <v>48</v>
      </c>
      <c r="L150" t="s">
        <v>49</v>
      </c>
      <c r="M150" t="s">
        <v>70</v>
      </c>
      <c r="N150">
        <v>3</v>
      </c>
      <c r="O150">
        <v>1266</v>
      </c>
      <c r="P150">
        <v>2320</v>
      </c>
      <c r="Q150">
        <v>3162</v>
      </c>
      <c r="R150">
        <f t="shared" si="5"/>
        <v>3798</v>
      </c>
      <c r="S150">
        <f t="shared" si="6"/>
        <v>6960</v>
      </c>
    </row>
    <row r="151" spans="1:19">
      <c r="A151" t="s">
        <v>133</v>
      </c>
      <c r="B151">
        <v>44548</v>
      </c>
      <c r="C151">
        <v>18</v>
      </c>
      <c r="D151" t="s">
        <v>46</v>
      </c>
      <c r="E151">
        <v>2021</v>
      </c>
      <c r="F151">
        <v>26</v>
      </c>
      <c r="G151" t="s">
        <v>17</v>
      </c>
      <c r="H151" t="s">
        <v>13</v>
      </c>
      <c r="I151" t="str">
        <f t="shared" si="4"/>
        <v>United Kingdom</v>
      </c>
      <c r="J151" t="s">
        <v>52</v>
      </c>
      <c r="K151" t="s">
        <v>48</v>
      </c>
      <c r="L151" t="s">
        <v>49</v>
      </c>
      <c r="M151" t="s">
        <v>58</v>
      </c>
      <c r="N151">
        <v>3</v>
      </c>
      <c r="O151">
        <v>420</v>
      </c>
      <c r="P151">
        <v>769</v>
      </c>
      <c r="Q151">
        <v>1047</v>
      </c>
      <c r="R151">
        <f t="shared" si="5"/>
        <v>1260</v>
      </c>
      <c r="S151">
        <f t="shared" si="6"/>
        <v>2307</v>
      </c>
    </row>
    <row r="152" spans="1:19">
      <c r="A152" t="s">
        <v>134</v>
      </c>
      <c r="B152">
        <v>44548</v>
      </c>
      <c r="C152">
        <v>18</v>
      </c>
      <c r="D152" t="s">
        <v>46</v>
      </c>
      <c r="E152">
        <v>2021</v>
      </c>
      <c r="F152">
        <v>39</v>
      </c>
      <c r="G152" t="s">
        <v>16</v>
      </c>
      <c r="H152" t="s">
        <v>14</v>
      </c>
      <c r="I152" t="str">
        <f t="shared" si="4"/>
        <v>United States</v>
      </c>
      <c r="J152" t="s">
        <v>47</v>
      </c>
      <c r="K152" t="s">
        <v>48</v>
      </c>
      <c r="L152" t="s">
        <v>49</v>
      </c>
      <c r="M152" t="s">
        <v>76</v>
      </c>
      <c r="N152">
        <v>3</v>
      </c>
      <c r="O152">
        <v>1252</v>
      </c>
      <c r="P152">
        <v>2295</v>
      </c>
      <c r="Q152">
        <v>3129</v>
      </c>
      <c r="R152">
        <f t="shared" si="5"/>
        <v>3756</v>
      </c>
      <c r="S152">
        <f t="shared" si="6"/>
        <v>6885</v>
      </c>
    </row>
    <row r="153" spans="1:19">
      <c r="A153" t="s">
        <v>135</v>
      </c>
      <c r="B153">
        <v>44548</v>
      </c>
      <c r="C153">
        <v>18</v>
      </c>
      <c r="D153" t="s">
        <v>46</v>
      </c>
      <c r="E153">
        <v>2021</v>
      </c>
      <c r="F153">
        <v>26</v>
      </c>
      <c r="G153" t="s">
        <v>17</v>
      </c>
      <c r="H153" t="s">
        <v>14</v>
      </c>
      <c r="I153" t="str">
        <f t="shared" si="4"/>
        <v>France</v>
      </c>
      <c r="J153" t="s">
        <v>102</v>
      </c>
      <c r="K153" t="s">
        <v>48</v>
      </c>
      <c r="L153" t="s">
        <v>49</v>
      </c>
      <c r="M153" t="s">
        <v>50</v>
      </c>
      <c r="N153">
        <v>1</v>
      </c>
      <c r="O153">
        <v>1252</v>
      </c>
      <c r="P153">
        <v>2295</v>
      </c>
      <c r="Q153">
        <v>1043</v>
      </c>
      <c r="R153">
        <f t="shared" si="5"/>
        <v>1252</v>
      </c>
      <c r="S153">
        <f t="shared" si="6"/>
        <v>2295</v>
      </c>
    </row>
    <row r="154" spans="1:19">
      <c r="A154" t="s">
        <v>136</v>
      </c>
      <c r="B154">
        <v>44548</v>
      </c>
      <c r="C154">
        <v>18</v>
      </c>
      <c r="D154" t="s">
        <v>46</v>
      </c>
      <c r="E154">
        <v>2021</v>
      </c>
      <c r="F154">
        <v>36</v>
      </c>
      <c r="G154" t="s">
        <v>16</v>
      </c>
      <c r="H154" t="s">
        <v>14</v>
      </c>
      <c r="I154" t="str">
        <f t="shared" si="4"/>
        <v>United States</v>
      </c>
      <c r="J154" t="s">
        <v>63</v>
      </c>
      <c r="K154" t="s">
        <v>48</v>
      </c>
      <c r="L154" t="s">
        <v>49</v>
      </c>
      <c r="M154" t="s">
        <v>70</v>
      </c>
      <c r="N154">
        <v>1</v>
      </c>
      <c r="O154">
        <v>1266</v>
      </c>
      <c r="P154">
        <v>2320</v>
      </c>
      <c r="Q154">
        <v>1054</v>
      </c>
      <c r="R154">
        <f t="shared" si="5"/>
        <v>1266</v>
      </c>
      <c r="S154">
        <f t="shared" si="6"/>
        <v>2320</v>
      </c>
    </row>
    <row r="155" spans="1:19">
      <c r="A155" t="s">
        <v>137</v>
      </c>
      <c r="B155">
        <v>44549</v>
      </c>
      <c r="C155">
        <v>19</v>
      </c>
      <c r="D155" t="s">
        <v>46</v>
      </c>
      <c r="E155">
        <v>2021</v>
      </c>
      <c r="F155">
        <v>17</v>
      </c>
      <c r="G155" t="s">
        <v>18</v>
      </c>
      <c r="H155" t="s">
        <v>14</v>
      </c>
      <c r="I155" t="str">
        <f t="shared" si="4"/>
        <v>France</v>
      </c>
      <c r="J155" t="s">
        <v>138</v>
      </c>
      <c r="K155" t="s">
        <v>48</v>
      </c>
      <c r="L155" t="s">
        <v>49</v>
      </c>
      <c r="M155" t="s">
        <v>125</v>
      </c>
      <c r="N155">
        <v>4</v>
      </c>
      <c r="O155">
        <v>1266</v>
      </c>
      <c r="P155">
        <v>2320</v>
      </c>
      <c r="Q155">
        <v>4216</v>
      </c>
      <c r="R155">
        <f t="shared" si="5"/>
        <v>5064</v>
      </c>
      <c r="S155">
        <f t="shared" si="6"/>
        <v>9280</v>
      </c>
    </row>
    <row r="156" spans="1:19">
      <c r="A156" t="s">
        <v>139</v>
      </c>
      <c r="B156">
        <v>44549</v>
      </c>
      <c r="C156">
        <v>19</v>
      </c>
      <c r="D156" t="s">
        <v>46</v>
      </c>
      <c r="E156">
        <v>2021</v>
      </c>
      <c r="F156">
        <v>19</v>
      </c>
      <c r="G156" t="s">
        <v>18</v>
      </c>
      <c r="H156" t="s">
        <v>13</v>
      </c>
      <c r="I156" t="str">
        <f t="shared" si="4"/>
        <v>Australia</v>
      </c>
      <c r="J156" t="s">
        <v>89</v>
      </c>
      <c r="K156" t="s">
        <v>48</v>
      </c>
      <c r="L156" t="s">
        <v>49</v>
      </c>
      <c r="M156" t="s">
        <v>140</v>
      </c>
      <c r="N156">
        <v>4</v>
      </c>
      <c r="O156">
        <v>295</v>
      </c>
      <c r="P156">
        <v>540</v>
      </c>
      <c r="Q156">
        <v>980</v>
      </c>
      <c r="R156">
        <f t="shared" si="5"/>
        <v>1180</v>
      </c>
      <c r="S156">
        <f t="shared" si="6"/>
        <v>2160</v>
      </c>
    </row>
    <row r="157" spans="1:19">
      <c r="A157" t="s">
        <v>141</v>
      </c>
      <c r="B157">
        <v>44549</v>
      </c>
      <c r="C157">
        <v>19</v>
      </c>
      <c r="D157" t="s">
        <v>46</v>
      </c>
      <c r="E157">
        <v>2021</v>
      </c>
      <c r="F157">
        <v>25</v>
      </c>
      <c r="G157" t="s">
        <v>17</v>
      </c>
      <c r="H157" t="s">
        <v>14</v>
      </c>
      <c r="I157" t="str">
        <f t="shared" si="4"/>
        <v>France</v>
      </c>
      <c r="J157" t="s">
        <v>102</v>
      </c>
      <c r="K157" t="s">
        <v>48</v>
      </c>
      <c r="L157" t="s">
        <v>49</v>
      </c>
      <c r="M157" t="s">
        <v>61</v>
      </c>
      <c r="N157">
        <v>4</v>
      </c>
      <c r="O157">
        <v>1252</v>
      </c>
      <c r="P157">
        <v>2295</v>
      </c>
      <c r="Q157">
        <v>4172</v>
      </c>
      <c r="R157">
        <f t="shared" si="5"/>
        <v>5008</v>
      </c>
      <c r="S157">
        <f t="shared" si="6"/>
        <v>9180</v>
      </c>
    </row>
    <row r="158" spans="1:19">
      <c r="A158" t="s">
        <v>142</v>
      </c>
      <c r="B158">
        <v>44549</v>
      </c>
      <c r="C158">
        <v>19</v>
      </c>
      <c r="D158" t="s">
        <v>46</v>
      </c>
      <c r="E158">
        <v>2021</v>
      </c>
      <c r="F158">
        <v>35</v>
      </c>
      <c r="G158" t="s">
        <v>16</v>
      </c>
      <c r="H158" t="s">
        <v>13</v>
      </c>
      <c r="I158" t="str">
        <f t="shared" si="4"/>
        <v>United States</v>
      </c>
      <c r="J158" t="s">
        <v>85</v>
      </c>
      <c r="K158" t="s">
        <v>48</v>
      </c>
      <c r="L158" t="s">
        <v>49</v>
      </c>
      <c r="M158" t="s">
        <v>143</v>
      </c>
      <c r="N158">
        <v>4</v>
      </c>
      <c r="O158">
        <v>1898</v>
      </c>
      <c r="P158">
        <v>3375</v>
      </c>
      <c r="Q158">
        <v>5908</v>
      </c>
      <c r="R158">
        <f t="shared" si="5"/>
        <v>7592</v>
      </c>
      <c r="S158">
        <f t="shared" si="6"/>
        <v>13500</v>
      </c>
    </row>
    <row r="159" spans="1:19">
      <c r="A159" t="s">
        <v>144</v>
      </c>
      <c r="B159">
        <v>44549</v>
      </c>
      <c r="C159">
        <v>19</v>
      </c>
      <c r="D159" t="s">
        <v>46</v>
      </c>
      <c r="E159">
        <v>2021</v>
      </c>
      <c r="F159">
        <v>37</v>
      </c>
      <c r="G159" t="s">
        <v>16</v>
      </c>
      <c r="H159" t="s">
        <v>14</v>
      </c>
      <c r="I159" t="str">
        <f t="shared" ref="I159:I181" si="7">TRIM(I67)</f>
        <v>United States</v>
      </c>
      <c r="J159" t="s">
        <v>85</v>
      </c>
      <c r="K159" t="s">
        <v>48</v>
      </c>
      <c r="L159" t="s">
        <v>49</v>
      </c>
      <c r="M159" t="s">
        <v>61</v>
      </c>
      <c r="N159">
        <v>4</v>
      </c>
      <c r="O159">
        <v>1252</v>
      </c>
      <c r="P159">
        <v>2295</v>
      </c>
      <c r="Q159">
        <v>4172</v>
      </c>
      <c r="R159">
        <f t="shared" ref="R159:R181" si="8">N159*O159</f>
        <v>5008</v>
      </c>
      <c r="S159">
        <f t="shared" ref="S159:S181" si="9">N159*P159</f>
        <v>9180</v>
      </c>
    </row>
    <row r="160" spans="1:19">
      <c r="A160" t="s">
        <v>145</v>
      </c>
      <c r="B160">
        <v>44549</v>
      </c>
      <c r="C160">
        <v>19</v>
      </c>
      <c r="D160" t="s">
        <v>46</v>
      </c>
      <c r="E160">
        <v>2021</v>
      </c>
      <c r="F160">
        <v>39</v>
      </c>
      <c r="G160" t="s">
        <v>16</v>
      </c>
      <c r="H160" t="s">
        <v>13</v>
      </c>
      <c r="I160" t="str">
        <f t="shared" si="7"/>
        <v>United States</v>
      </c>
      <c r="J160" t="s">
        <v>47</v>
      </c>
      <c r="K160" t="s">
        <v>48</v>
      </c>
      <c r="L160" t="s">
        <v>49</v>
      </c>
      <c r="M160" t="s">
        <v>50</v>
      </c>
      <c r="N160">
        <v>4</v>
      </c>
      <c r="O160">
        <v>1252</v>
      </c>
      <c r="P160">
        <v>2295</v>
      </c>
      <c r="Q160">
        <v>4172</v>
      </c>
      <c r="R160">
        <f t="shared" si="8"/>
        <v>5008</v>
      </c>
      <c r="S160">
        <f t="shared" si="9"/>
        <v>9180</v>
      </c>
    </row>
    <row r="161" spans="1:19">
      <c r="A161" t="s">
        <v>146</v>
      </c>
      <c r="B161">
        <v>44549</v>
      </c>
      <c r="C161">
        <v>19</v>
      </c>
      <c r="D161" t="s">
        <v>46</v>
      </c>
      <c r="E161">
        <v>2021</v>
      </c>
      <c r="F161">
        <v>63</v>
      </c>
      <c r="G161" t="s">
        <v>16</v>
      </c>
      <c r="H161" t="s">
        <v>13</v>
      </c>
      <c r="I161" t="str">
        <f t="shared" si="7"/>
        <v>Australia</v>
      </c>
      <c r="J161" t="s">
        <v>69</v>
      </c>
      <c r="K161" t="s">
        <v>48</v>
      </c>
      <c r="L161" t="s">
        <v>49</v>
      </c>
      <c r="M161" t="s">
        <v>50</v>
      </c>
      <c r="N161">
        <v>4</v>
      </c>
      <c r="O161">
        <v>1252</v>
      </c>
      <c r="P161">
        <v>2295</v>
      </c>
      <c r="Q161">
        <v>4172</v>
      </c>
      <c r="R161">
        <f t="shared" si="8"/>
        <v>5008</v>
      </c>
      <c r="S161">
        <f t="shared" si="9"/>
        <v>9180</v>
      </c>
    </row>
    <row r="162" spans="1:19">
      <c r="A162" t="s">
        <v>147</v>
      </c>
      <c r="B162">
        <v>44549</v>
      </c>
      <c r="C162">
        <v>19</v>
      </c>
      <c r="D162" t="s">
        <v>46</v>
      </c>
      <c r="E162">
        <v>2021</v>
      </c>
      <c r="F162">
        <v>18</v>
      </c>
      <c r="G162" t="s">
        <v>18</v>
      </c>
      <c r="H162" t="s">
        <v>14</v>
      </c>
      <c r="I162" t="str">
        <f t="shared" si="7"/>
        <v>Australia</v>
      </c>
      <c r="J162" t="s">
        <v>148</v>
      </c>
      <c r="K162" t="s">
        <v>48</v>
      </c>
      <c r="L162" t="s">
        <v>49</v>
      </c>
      <c r="M162" t="s">
        <v>97</v>
      </c>
      <c r="N162">
        <v>2</v>
      </c>
      <c r="O162">
        <v>295</v>
      </c>
      <c r="P162">
        <v>540</v>
      </c>
      <c r="Q162">
        <v>490</v>
      </c>
      <c r="R162">
        <f t="shared" si="8"/>
        <v>590</v>
      </c>
      <c r="S162">
        <f t="shared" si="9"/>
        <v>1080</v>
      </c>
    </row>
    <row r="163" spans="1:19">
      <c r="A163" t="s">
        <v>149</v>
      </c>
      <c r="B163">
        <v>44549</v>
      </c>
      <c r="C163">
        <v>19</v>
      </c>
      <c r="D163" t="s">
        <v>46</v>
      </c>
      <c r="E163">
        <v>2021</v>
      </c>
      <c r="F163">
        <v>56</v>
      </c>
      <c r="G163" t="s">
        <v>16</v>
      </c>
      <c r="H163" t="s">
        <v>13</v>
      </c>
      <c r="I163" t="str">
        <f t="shared" si="7"/>
        <v>Germany</v>
      </c>
      <c r="J163" t="s">
        <v>150</v>
      </c>
      <c r="K163" t="s">
        <v>48</v>
      </c>
      <c r="L163" t="s">
        <v>49</v>
      </c>
      <c r="M163" t="s">
        <v>50</v>
      </c>
      <c r="N163">
        <v>2</v>
      </c>
      <c r="O163">
        <v>1252</v>
      </c>
      <c r="P163">
        <v>2295</v>
      </c>
      <c r="Q163">
        <v>2086</v>
      </c>
      <c r="R163">
        <f t="shared" si="8"/>
        <v>2504</v>
      </c>
      <c r="S163">
        <f t="shared" si="9"/>
        <v>4590</v>
      </c>
    </row>
    <row r="164" spans="1:19">
      <c r="A164" t="s">
        <v>151</v>
      </c>
      <c r="B164">
        <v>44549</v>
      </c>
      <c r="C164">
        <v>19</v>
      </c>
      <c r="D164" t="s">
        <v>46</v>
      </c>
      <c r="E164">
        <v>2021</v>
      </c>
      <c r="F164">
        <v>39</v>
      </c>
      <c r="G164" t="s">
        <v>16</v>
      </c>
      <c r="H164" t="s">
        <v>13</v>
      </c>
      <c r="I164" t="str">
        <f t="shared" si="7"/>
        <v>United States</v>
      </c>
      <c r="J164" t="s">
        <v>63</v>
      </c>
      <c r="K164" t="s">
        <v>48</v>
      </c>
      <c r="L164" t="s">
        <v>49</v>
      </c>
      <c r="M164" t="s">
        <v>70</v>
      </c>
      <c r="N164">
        <v>1</v>
      </c>
      <c r="O164">
        <v>1266</v>
      </c>
      <c r="P164">
        <v>2320</v>
      </c>
      <c r="Q164">
        <v>1054</v>
      </c>
      <c r="R164">
        <f t="shared" si="8"/>
        <v>1266</v>
      </c>
      <c r="S164">
        <f t="shared" si="9"/>
        <v>2320</v>
      </c>
    </row>
    <row r="165" spans="1:19">
      <c r="A165" t="s">
        <v>152</v>
      </c>
      <c r="B165">
        <v>44550</v>
      </c>
      <c r="C165">
        <v>20</v>
      </c>
      <c r="D165" t="s">
        <v>46</v>
      </c>
      <c r="E165">
        <v>2021</v>
      </c>
      <c r="F165">
        <v>33</v>
      </c>
      <c r="G165" t="s">
        <v>17</v>
      </c>
      <c r="H165" t="s">
        <v>13</v>
      </c>
      <c r="I165" t="str">
        <f t="shared" si="7"/>
        <v>Australia</v>
      </c>
      <c r="J165" t="s">
        <v>89</v>
      </c>
      <c r="K165" t="s">
        <v>48</v>
      </c>
      <c r="L165" t="s">
        <v>49</v>
      </c>
      <c r="M165" t="s">
        <v>90</v>
      </c>
      <c r="N165">
        <v>4</v>
      </c>
      <c r="O165">
        <v>1898</v>
      </c>
      <c r="P165">
        <v>3375</v>
      </c>
      <c r="Q165">
        <v>5908</v>
      </c>
      <c r="R165">
        <f t="shared" si="8"/>
        <v>7592</v>
      </c>
      <c r="S165">
        <f t="shared" si="9"/>
        <v>13500</v>
      </c>
    </row>
    <row r="166" spans="1:19">
      <c r="A166" t="s">
        <v>153</v>
      </c>
      <c r="B166">
        <v>44550</v>
      </c>
      <c r="C166">
        <v>20</v>
      </c>
      <c r="D166" t="s">
        <v>46</v>
      </c>
      <c r="E166">
        <v>2021</v>
      </c>
      <c r="F166">
        <v>57</v>
      </c>
      <c r="G166" t="s">
        <v>16</v>
      </c>
      <c r="H166" t="s">
        <v>14</v>
      </c>
      <c r="I166" t="str">
        <f t="shared" si="7"/>
        <v>Australia</v>
      </c>
      <c r="J166" t="s">
        <v>69</v>
      </c>
      <c r="K166" t="s">
        <v>48</v>
      </c>
      <c r="L166" t="s">
        <v>49</v>
      </c>
      <c r="M166" t="s">
        <v>50</v>
      </c>
      <c r="N166">
        <v>4</v>
      </c>
      <c r="O166">
        <v>1252</v>
      </c>
      <c r="P166">
        <v>2295</v>
      </c>
      <c r="Q166">
        <v>4172</v>
      </c>
      <c r="R166">
        <f t="shared" si="8"/>
        <v>5008</v>
      </c>
      <c r="S166">
        <f t="shared" si="9"/>
        <v>9180</v>
      </c>
    </row>
    <row r="167" spans="1:19">
      <c r="A167" t="s">
        <v>154</v>
      </c>
      <c r="B167">
        <v>44550</v>
      </c>
      <c r="C167">
        <v>20</v>
      </c>
      <c r="D167" t="s">
        <v>46</v>
      </c>
      <c r="E167">
        <v>2021</v>
      </c>
      <c r="F167">
        <v>29</v>
      </c>
      <c r="G167" t="s">
        <v>17</v>
      </c>
      <c r="H167" t="s">
        <v>14</v>
      </c>
      <c r="I167" t="str">
        <f t="shared" si="7"/>
        <v>Canada</v>
      </c>
      <c r="J167" t="s">
        <v>74</v>
      </c>
      <c r="K167" t="s">
        <v>48</v>
      </c>
      <c r="L167" t="s">
        <v>49</v>
      </c>
      <c r="M167" t="s">
        <v>155</v>
      </c>
      <c r="N167">
        <v>3</v>
      </c>
      <c r="O167">
        <v>295</v>
      </c>
      <c r="P167">
        <v>540</v>
      </c>
      <c r="Q167">
        <v>735</v>
      </c>
      <c r="R167">
        <f t="shared" si="8"/>
        <v>885</v>
      </c>
      <c r="S167">
        <f t="shared" si="9"/>
        <v>1620</v>
      </c>
    </row>
    <row r="168" spans="1:19">
      <c r="A168" t="s">
        <v>156</v>
      </c>
      <c r="B168">
        <v>44550</v>
      </c>
      <c r="C168">
        <v>20</v>
      </c>
      <c r="D168" t="s">
        <v>46</v>
      </c>
      <c r="E168">
        <v>2021</v>
      </c>
      <c r="F168">
        <v>35</v>
      </c>
      <c r="G168" t="s">
        <v>16</v>
      </c>
      <c r="H168" t="s">
        <v>13</v>
      </c>
      <c r="I168" t="str">
        <f t="shared" si="7"/>
        <v>Australia</v>
      </c>
      <c r="J168" t="s">
        <v>69</v>
      </c>
      <c r="K168" t="s">
        <v>48</v>
      </c>
      <c r="L168" t="s">
        <v>49</v>
      </c>
      <c r="M168" t="s">
        <v>70</v>
      </c>
      <c r="N168">
        <v>1</v>
      </c>
      <c r="O168">
        <v>1266</v>
      </c>
      <c r="P168">
        <v>2320</v>
      </c>
      <c r="Q168">
        <v>1054</v>
      </c>
      <c r="R168">
        <f t="shared" si="8"/>
        <v>1266</v>
      </c>
      <c r="S168">
        <f t="shared" si="9"/>
        <v>2320</v>
      </c>
    </row>
    <row r="169" spans="1:19">
      <c r="A169" t="s">
        <v>157</v>
      </c>
      <c r="B169">
        <v>44550</v>
      </c>
      <c r="C169">
        <v>20</v>
      </c>
      <c r="D169" t="s">
        <v>46</v>
      </c>
      <c r="E169">
        <v>2021</v>
      </c>
      <c r="F169">
        <v>35</v>
      </c>
      <c r="G169" t="s">
        <v>16</v>
      </c>
      <c r="H169" t="s">
        <v>14</v>
      </c>
      <c r="I169" t="str">
        <f t="shared" si="7"/>
        <v>Australia</v>
      </c>
      <c r="J169" t="s">
        <v>89</v>
      </c>
      <c r="K169" t="s">
        <v>48</v>
      </c>
      <c r="L169" t="s">
        <v>49</v>
      </c>
      <c r="M169" t="s">
        <v>70</v>
      </c>
      <c r="N169">
        <v>1</v>
      </c>
      <c r="O169">
        <v>1266</v>
      </c>
      <c r="P169">
        <v>2320</v>
      </c>
      <c r="Q169">
        <v>1054</v>
      </c>
      <c r="R169">
        <f t="shared" si="8"/>
        <v>1266</v>
      </c>
      <c r="S169">
        <f t="shared" si="9"/>
        <v>2320</v>
      </c>
    </row>
    <row r="170" spans="1:19">
      <c r="A170" t="s">
        <v>158</v>
      </c>
      <c r="B170">
        <v>44551</v>
      </c>
      <c r="C170">
        <v>21</v>
      </c>
      <c r="D170" t="s">
        <v>46</v>
      </c>
      <c r="E170">
        <v>2021</v>
      </c>
      <c r="F170">
        <v>26</v>
      </c>
      <c r="G170" t="s">
        <v>17</v>
      </c>
      <c r="H170" t="s">
        <v>14</v>
      </c>
      <c r="I170" t="str">
        <f t="shared" si="7"/>
        <v>France</v>
      </c>
      <c r="J170" t="s">
        <v>159</v>
      </c>
      <c r="K170" t="s">
        <v>48</v>
      </c>
      <c r="L170" t="s">
        <v>49</v>
      </c>
      <c r="M170" t="s">
        <v>70</v>
      </c>
      <c r="N170">
        <v>3</v>
      </c>
      <c r="O170">
        <v>1266</v>
      </c>
      <c r="P170">
        <v>2320</v>
      </c>
      <c r="Q170">
        <v>3162</v>
      </c>
      <c r="R170">
        <f t="shared" si="8"/>
        <v>3798</v>
      </c>
      <c r="S170">
        <f t="shared" si="9"/>
        <v>6960</v>
      </c>
    </row>
    <row r="171" spans="1:19">
      <c r="A171" t="s">
        <v>160</v>
      </c>
      <c r="B171">
        <v>44551</v>
      </c>
      <c r="C171">
        <v>21</v>
      </c>
      <c r="D171" t="s">
        <v>46</v>
      </c>
      <c r="E171">
        <v>2021</v>
      </c>
      <c r="F171">
        <v>23</v>
      </c>
      <c r="G171" t="s">
        <v>18</v>
      </c>
      <c r="H171" t="s">
        <v>14</v>
      </c>
      <c r="I171" t="str">
        <f t="shared" si="7"/>
        <v>United Kingdom</v>
      </c>
      <c r="J171" t="s">
        <v>52</v>
      </c>
      <c r="K171" t="s">
        <v>48</v>
      </c>
      <c r="L171" t="s">
        <v>49</v>
      </c>
      <c r="M171" t="s">
        <v>55</v>
      </c>
      <c r="N171">
        <v>2</v>
      </c>
      <c r="O171">
        <v>420</v>
      </c>
      <c r="P171">
        <v>769</v>
      </c>
      <c r="Q171">
        <v>698</v>
      </c>
      <c r="R171">
        <f t="shared" si="8"/>
        <v>840</v>
      </c>
      <c r="S171">
        <f t="shared" si="9"/>
        <v>1538</v>
      </c>
    </row>
    <row r="172" spans="1:19">
      <c r="A172" t="s">
        <v>161</v>
      </c>
      <c r="B172">
        <v>44552</v>
      </c>
      <c r="C172">
        <v>22</v>
      </c>
      <c r="D172" t="s">
        <v>46</v>
      </c>
      <c r="E172">
        <v>2021</v>
      </c>
      <c r="F172">
        <v>30</v>
      </c>
      <c r="G172" t="s">
        <v>17</v>
      </c>
      <c r="H172" t="s">
        <v>13</v>
      </c>
      <c r="I172" t="str">
        <f t="shared" si="7"/>
        <v>United States</v>
      </c>
      <c r="J172" t="s">
        <v>63</v>
      </c>
      <c r="K172" t="s">
        <v>48</v>
      </c>
      <c r="L172" t="s">
        <v>49</v>
      </c>
      <c r="M172" t="s">
        <v>70</v>
      </c>
      <c r="N172">
        <v>3</v>
      </c>
      <c r="O172">
        <v>1266</v>
      </c>
      <c r="P172">
        <v>2320</v>
      </c>
      <c r="Q172">
        <v>3162</v>
      </c>
      <c r="R172">
        <f t="shared" si="8"/>
        <v>3798</v>
      </c>
      <c r="S172">
        <f t="shared" si="9"/>
        <v>6960</v>
      </c>
    </row>
    <row r="173" spans="1:19">
      <c r="A173" t="s">
        <v>162</v>
      </c>
      <c r="B173">
        <v>44552</v>
      </c>
      <c r="C173">
        <v>22</v>
      </c>
      <c r="D173" t="s">
        <v>46</v>
      </c>
      <c r="E173">
        <v>2021</v>
      </c>
      <c r="F173">
        <v>41</v>
      </c>
      <c r="G173" t="s">
        <v>16</v>
      </c>
      <c r="H173" t="s">
        <v>14</v>
      </c>
      <c r="I173" t="str">
        <f t="shared" si="7"/>
        <v>United States</v>
      </c>
      <c r="J173" t="s">
        <v>47</v>
      </c>
      <c r="K173" t="s">
        <v>48</v>
      </c>
      <c r="L173" t="s">
        <v>49</v>
      </c>
      <c r="M173" t="s">
        <v>76</v>
      </c>
      <c r="N173">
        <v>3</v>
      </c>
      <c r="O173">
        <v>1252</v>
      </c>
      <c r="P173">
        <v>2295</v>
      </c>
      <c r="Q173">
        <v>3129</v>
      </c>
      <c r="R173">
        <f t="shared" si="8"/>
        <v>3756</v>
      </c>
      <c r="S173">
        <f t="shared" si="9"/>
        <v>6885</v>
      </c>
    </row>
    <row r="174" spans="1:19">
      <c r="A174" t="s">
        <v>163</v>
      </c>
      <c r="B174">
        <v>44552</v>
      </c>
      <c r="C174">
        <v>22</v>
      </c>
      <c r="D174" t="s">
        <v>46</v>
      </c>
      <c r="E174">
        <v>2021</v>
      </c>
      <c r="F174">
        <v>19</v>
      </c>
      <c r="G174" t="s">
        <v>18</v>
      </c>
      <c r="H174" t="s">
        <v>13</v>
      </c>
      <c r="I174" t="str">
        <f t="shared" si="7"/>
        <v>Australia</v>
      </c>
      <c r="J174" t="s">
        <v>57</v>
      </c>
      <c r="K174" t="s">
        <v>48</v>
      </c>
      <c r="L174" t="s">
        <v>49</v>
      </c>
      <c r="M174" t="s">
        <v>82</v>
      </c>
      <c r="N174">
        <v>1</v>
      </c>
      <c r="O174">
        <v>308</v>
      </c>
      <c r="P174">
        <v>565</v>
      </c>
      <c r="Q174">
        <v>257</v>
      </c>
      <c r="R174">
        <f t="shared" si="8"/>
        <v>308</v>
      </c>
      <c r="S174">
        <f t="shared" si="9"/>
        <v>565</v>
      </c>
    </row>
    <row r="175" spans="1:19">
      <c r="A175" t="s">
        <v>164</v>
      </c>
      <c r="B175">
        <v>44552</v>
      </c>
      <c r="C175">
        <v>22</v>
      </c>
      <c r="D175" t="s">
        <v>46</v>
      </c>
      <c r="E175">
        <v>2021</v>
      </c>
      <c r="F175">
        <v>25</v>
      </c>
      <c r="G175" t="s">
        <v>17</v>
      </c>
      <c r="H175" t="s">
        <v>14</v>
      </c>
      <c r="I175" t="str">
        <f t="shared" si="7"/>
        <v>France</v>
      </c>
      <c r="J175" t="s">
        <v>102</v>
      </c>
      <c r="K175" t="s">
        <v>48</v>
      </c>
      <c r="L175" t="s">
        <v>49</v>
      </c>
      <c r="M175" t="s">
        <v>61</v>
      </c>
      <c r="N175">
        <v>1</v>
      </c>
      <c r="O175">
        <v>1252</v>
      </c>
      <c r="P175">
        <v>2295</v>
      </c>
      <c r="Q175">
        <v>1043</v>
      </c>
      <c r="R175">
        <f t="shared" si="8"/>
        <v>1252</v>
      </c>
      <c r="S175">
        <f t="shared" si="9"/>
        <v>2295</v>
      </c>
    </row>
    <row r="176" spans="1:19">
      <c r="A176" t="s">
        <v>165</v>
      </c>
      <c r="B176">
        <v>44552</v>
      </c>
      <c r="C176">
        <v>22</v>
      </c>
      <c r="D176" t="s">
        <v>46</v>
      </c>
      <c r="E176">
        <v>2021</v>
      </c>
      <c r="F176">
        <v>27</v>
      </c>
      <c r="G176" t="s">
        <v>17</v>
      </c>
      <c r="H176" t="s">
        <v>13</v>
      </c>
      <c r="I176" t="str">
        <f t="shared" si="7"/>
        <v>Canada</v>
      </c>
      <c r="J176" t="s">
        <v>74</v>
      </c>
      <c r="K176" t="s">
        <v>48</v>
      </c>
      <c r="L176" t="s">
        <v>49</v>
      </c>
      <c r="M176" t="s">
        <v>50</v>
      </c>
      <c r="N176">
        <v>1</v>
      </c>
      <c r="O176">
        <v>1252</v>
      </c>
      <c r="P176">
        <v>2295</v>
      </c>
      <c r="Q176">
        <v>1043</v>
      </c>
      <c r="R176">
        <f t="shared" si="8"/>
        <v>1252</v>
      </c>
      <c r="S176">
        <f t="shared" si="9"/>
        <v>2295</v>
      </c>
    </row>
    <row r="177" spans="1:19">
      <c r="A177" t="s">
        <v>166</v>
      </c>
      <c r="B177">
        <v>44552</v>
      </c>
      <c r="C177">
        <v>22</v>
      </c>
      <c r="D177" t="s">
        <v>46</v>
      </c>
      <c r="E177">
        <v>2021</v>
      </c>
      <c r="F177">
        <v>41</v>
      </c>
      <c r="G177" t="s">
        <v>16</v>
      </c>
      <c r="H177" t="s">
        <v>14</v>
      </c>
      <c r="I177" t="str">
        <f t="shared" si="7"/>
        <v>Germany</v>
      </c>
      <c r="J177" t="s">
        <v>150</v>
      </c>
      <c r="K177" t="s">
        <v>48</v>
      </c>
      <c r="L177" t="s">
        <v>49</v>
      </c>
      <c r="M177" t="s">
        <v>70</v>
      </c>
      <c r="N177">
        <v>1</v>
      </c>
      <c r="O177">
        <v>1266</v>
      </c>
      <c r="P177">
        <v>2320</v>
      </c>
      <c r="Q177">
        <v>1054</v>
      </c>
      <c r="R177">
        <f t="shared" si="8"/>
        <v>1266</v>
      </c>
      <c r="S177">
        <f t="shared" si="9"/>
        <v>2320</v>
      </c>
    </row>
    <row r="178" spans="1:19">
      <c r="A178" t="s">
        <v>167</v>
      </c>
      <c r="B178">
        <v>44553</v>
      </c>
      <c r="C178">
        <v>23</v>
      </c>
      <c r="D178" t="s">
        <v>46</v>
      </c>
      <c r="E178">
        <v>2021</v>
      </c>
      <c r="F178">
        <v>30</v>
      </c>
      <c r="G178" t="s">
        <v>17</v>
      </c>
      <c r="H178" t="s">
        <v>13</v>
      </c>
      <c r="I178" t="str">
        <f t="shared" si="7"/>
        <v>United States</v>
      </c>
      <c r="J178" t="s">
        <v>85</v>
      </c>
      <c r="K178" t="s">
        <v>48</v>
      </c>
      <c r="L178" t="s">
        <v>49</v>
      </c>
      <c r="M178" t="s">
        <v>53</v>
      </c>
      <c r="N178">
        <v>1</v>
      </c>
      <c r="O178">
        <v>1266</v>
      </c>
      <c r="P178">
        <v>2320</v>
      </c>
      <c r="Q178">
        <v>1054</v>
      </c>
      <c r="R178">
        <f t="shared" si="8"/>
        <v>1266</v>
      </c>
      <c r="S178">
        <f t="shared" si="9"/>
        <v>2320</v>
      </c>
    </row>
    <row r="179" spans="1:19">
      <c r="A179" t="s">
        <v>168</v>
      </c>
      <c r="B179">
        <v>44553</v>
      </c>
      <c r="C179">
        <v>23</v>
      </c>
      <c r="D179" t="s">
        <v>46</v>
      </c>
      <c r="E179">
        <v>2021</v>
      </c>
      <c r="F179">
        <v>31</v>
      </c>
      <c r="G179" t="s">
        <v>17</v>
      </c>
      <c r="H179" t="s">
        <v>13</v>
      </c>
      <c r="I179" t="str">
        <f t="shared" si="7"/>
        <v>Canada</v>
      </c>
      <c r="J179" t="s">
        <v>74</v>
      </c>
      <c r="K179" t="s">
        <v>48</v>
      </c>
      <c r="L179" t="s">
        <v>49</v>
      </c>
      <c r="M179" t="s">
        <v>76</v>
      </c>
      <c r="N179">
        <v>1</v>
      </c>
      <c r="O179">
        <v>1252</v>
      </c>
      <c r="P179">
        <v>2295</v>
      </c>
      <c r="Q179">
        <v>1043</v>
      </c>
      <c r="R179">
        <f t="shared" si="8"/>
        <v>1252</v>
      </c>
      <c r="S179">
        <f t="shared" si="9"/>
        <v>2295</v>
      </c>
    </row>
    <row r="180" spans="1:19">
      <c r="A180" t="s">
        <v>169</v>
      </c>
      <c r="B180">
        <v>44553</v>
      </c>
      <c r="C180">
        <v>23</v>
      </c>
      <c r="D180" t="s">
        <v>46</v>
      </c>
      <c r="E180">
        <v>2021</v>
      </c>
      <c r="F180">
        <v>35</v>
      </c>
      <c r="G180" t="s">
        <v>16</v>
      </c>
      <c r="H180" t="s">
        <v>13</v>
      </c>
      <c r="I180" t="str">
        <f t="shared" si="7"/>
        <v>United States</v>
      </c>
      <c r="J180" t="s">
        <v>47</v>
      </c>
      <c r="K180" t="s">
        <v>48</v>
      </c>
      <c r="L180" t="s">
        <v>49</v>
      </c>
      <c r="M180" t="s">
        <v>86</v>
      </c>
      <c r="N180">
        <v>1</v>
      </c>
      <c r="O180">
        <v>295</v>
      </c>
      <c r="P180">
        <v>540</v>
      </c>
      <c r="Q180">
        <v>245</v>
      </c>
      <c r="R180">
        <f t="shared" si="8"/>
        <v>295</v>
      </c>
      <c r="S180">
        <f t="shared" si="9"/>
        <v>540</v>
      </c>
    </row>
    <row r="181" spans="1:19">
      <c r="A181" t="s">
        <v>170</v>
      </c>
      <c r="B181">
        <v>44554</v>
      </c>
      <c r="C181">
        <v>24</v>
      </c>
      <c r="D181" t="s">
        <v>46</v>
      </c>
      <c r="E181">
        <v>2021</v>
      </c>
      <c r="F181">
        <v>38</v>
      </c>
      <c r="G181" t="s">
        <v>16</v>
      </c>
      <c r="H181" t="s">
        <v>14</v>
      </c>
      <c r="I181" t="str">
        <f t="shared" si="7"/>
        <v>Australia</v>
      </c>
      <c r="J181" t="s">
        <v>69</v>
      </c>
      <c r="K181" t="s">
        <v>48</v>
      </c>
      <c r="L181" t="s">
        <v>49</v>
      </c>
      <c r="M181" t="s">
        <v>76</v>
      </c>
      <c r="N181">
        <v>4</v>
      </c>
      <c r="O181">
        <v>1252</v>
      </c>
      <c r="P181">
        <v>2295</v>
      </c>
      <c r="Q181">
        <v>4172</v>
      </c>
      <c r="R181">
        <f t="shared" si="8"/>
        <v>5008</v>
      </c>
      <c r="S181">
        <f t="shared" si="9"/>
        <v>9180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I14"/>
  <sheetViews>
    <sheetView workbookViewId="0">
      <selection activeCell="E16" sqref="E16"/>
    </sheetView>
  </sheetViews>
  <sheetFormatPr defaultRowHeight="14.45"/>
  <cols>
    <col min="1" max="1" width="33.7109375" customWidth="1"/>
    <col min="2" max="2" width="24.42578125" customWidth="1"/>
    <col min="3" max="3" width="30.28515625" customWidth="1"/>
    <col min="4" max="4" width="39.5703125" customWidth="1"/>
    <col min="5" max="5" width="19.140625" bestFit="1" customWidth="1"/>
    <col min="6" max="6" width="11.28515625" customWidth="1"/>
    <col min="7" max="7" width="10.85546875" bestFit="1" customWidth="1"/>
    <col min="8" max="8" width="13" bestFit="1" customWidth="1"/>
    <col min="9" max="9" width="11.7109375" bestFit="1" customWidth="1"/>
    <col min="10" max="10" width="10.5703125" bestFit="1" customWidth="1"/>
    <col min="11" max="11" width="9.5703125" bestFit="1" customWidth="1"/>
    <col min="12" max="12" width="11.7109375" bestFit="1" customWidth="1"/>
  </cols>
  <sheetData>
    <row r="1" spans="1:9" ht="17.25">
      <c r="A1" s="11" t="s">
        <v>172</v>
      </c>
      <c r="B1" s="11" t="s">
        <v>173</v>
      </c>
      <c r="C1" s="12" t="s">
        <v>174</v>
      </c>
      <c r="D1" s="12" t="s">
        <v>175</v>
      </c>
      <c r="E1" s="15" t="s">
        <v>176</v>
      </c>
      <c r="F1" s="15" t="s">
        <v>173</v>
      </c>
      <c r="G1" s="16"/>
      <c r="H1" s="16"/>
      <c r="I1" s="16"/>
    </row>
    <row r="2" spans="1:9" ht="17.25">
      <c r="A2" s="3" t="s">
        <v>177</v>
      </c>
      <c r="B2" s="3" t="s">
        <v>178</v>
      </c>
      <c r="C2" s="10">
        <v>500</v>
      </c>
      <c r="D2" s="18" t="str" cm="1">
        <f t="array" ref="D2">_xlfn.SWITCH(TRUE, C2 &gt; 600, "High", C2 &gt;= 300, "Medium", "Low")</f>
        <v>Medium</v>
      </c>
      <c r="E2" s="15" t="s">
        <v>172</v>
      </c>
      <c r="F2" s="16" t="s">
        <v>178</v>
      </c>
      <c r="G2" s="16" t="s">
        <v>179</v>
      </c>
      <c r="H2" s="16" t="s">
        <v>180</v>
      </c>
      <c r="I2" s="16" t="s">
        <v>10</v>
      </c>
    </row>
    <row r="3" spans="1:9" ht="17.25">
      <c r="A3" s="3" t="s">
        <v>177</v>
      </c>
      <c r="B3" s="3" t="s">
        <v>180</v>
      </c>
      <c r="C3" s="10">
        <v>200</v>
      </c>
      <c r="D3" s="18" t="str" cm="1">
        <f t="array" ref="D3">_xlfn.SWITCH(TRUE, C3 &gt; 600, "High", C3 &gt;= 300, "Medium", "Low")</f>
        <v>Low</v>
      </c>
      <c r="E3" s="16" t="s">
        <v>181</v>
      </c>
      <c r="F3" s="17">
        <v>700</v>
      </c>
      <c r="G3" s="17">
        <v>400</v>
      </c>
      <c r="H3" s="17"/>
      <c r="I3" s="17">
        <v>1100</v>
      </c>
    </row>
    <row r="4" spans="1:9" ht="17.25">
      <c r="A4" s="3" t="s">
        <v>181</v>
      </c>
      <c r="B4" s="3" t="s">
        <v>178</v>
      </c>
      <c r="C4" s="10">
        <v>700</v>
      </c>
      <c r="D4" s="18" t="str" cm="1">
        <f t="array" ref="D4">_xlfn.SWITCH(TRUE, C4 &gt; 600, "High", C4 &gt;= 300, "Medium", "Low")</f>
        <v>High</v>
      </c>
      <c r="E4" s="16" t="s">
        <v>182</v>
      </c>
      <c r="F4" s="17">
        <v>250</v>
      </c>
      <c r="G4" s="17">
        <v>300</v>
      </c>
      <c r="H4" s="17"/>
      <c r="I4" s="17">
        <v>550</v>
      </c>
    </row>
    <row r="5" spans="1:9" ht="17.25">
      <c r="A5" s="3" t="s">
        <v>181</v>
      </c>
      <c r="B5" s="3" t="s">
        <v>179</v>
      </c>
      <c r="C5" s="10">
        <v>400</v>
      </c>
      <c r="D5" s="18" t="str" cm="1">
        <f t="array" ref="D5">_xlfn.SWITCH(TRUE, C5 &gt; 600, "High", C5 &gt;= 300, "Medium", "Low")</f>
        <v>Medium</v>
      </c>
      <c r="E5" s="16" t="s">
        <v>183</v>
      </c>
      <c r="F5" s="17"/>
      <c r="G5" s="17">
        <v>800</v>
      </c>
      <c r="H5" s="17">
        <v>300</v>
      </c>
      <c r="I5" s="17">
        <v>1100</v>
      </c>
    </row>
    <row r="6" spans="1:9" ht="17.25">
      <c r="A6" s="3" t="s">
        <v>184</v>
      </c>
      <c r="B6" s="3" t="s">
        <v>180</v>
      </c>
      <c r="C6" s="10">
        <v>150</v>
      </c>
      <c r="D6" s="18" t="str" cm="1">
        <f t="array" ref="D6">_xlfn.SWITCH(TRUE, C6 &gt; 600, "High", C6 &gt;= 300, "Medium", "Low")</f>
        <v>Low</v>
      </c>
      <c r="E6" s="16" t="s">
        <v>185</v>
      </c>
      <c r="F6" s="17">
        <v>400</v>
      </c>
      <c r="G6" s="17"/>
      <c r="H6" s="17">
        <v>600</v>
      </c>
      <c r="I6" s="17">
        <v>1000</v>
      </c>
    </row>
    <row r="7" spans="1:9" ht="17.25">
      <c r="A7" s="3" t="s">
        <v>184</v>
      </c>
      <c r="B7" s="3" t="s">
        <v>178</v>
      </c>
      <c r="C7" s="10">
        <v>600</v>
      </c>
      <c r="D7" s="18" t="str" cm="1">
        <f t="array" ref="D7">_xlfn.SWITCH(TRUE, C7 &gt; 600, "High", C7 &gt;= 300, "Medium", "Low")</f>
        <v>Medium</v>
      </c>
      <c r="E7" s="16" t="s">
        <v>184</v>
      </c>
      <c r="F7" s="17">
        <v>600</v>
      </c>
      <c r="G7" s="17"/>
      <c r="H7" s="17">
        <v>150</v>
      </c>
      <c r="I7" s="17">
        <v>750</v>
      </c>
    </row>
    <row r="8" spans="1:9" ht="17.25">
      <c r="A8" s="3" t="s">
        <v>183</v>
      </c>
      <c r="B8" s="3" t="s">
        <v>179</v>
      </c>
      <c r="C8" s="10">
        <v>800</v>
      </c>
      <c r="D8" s="18" t="str" cm="1">
        <f t="array" ref="D8">_xlfn.SWITCH(TRUE, C8 &gt; 600, "High", C8 &gt;= 300, "Medium", "Low")</f>
        <v>High</v>
      </c>
      <c r="E8" s="16" t="s">
        <v>177</v>
      </c>
      <c r="F8" s="17">
        <v>500</v>
      </c>
      <c r="G8" s="17"/>
      <c r="H8" s="17">
        <v>200</v>
      </c>
      <c r="I8" s="17">
        <v>700</v>
      </c>
    </row>
    <row r="9" spans="1:9" ht="17.25">
      <c r="A9" s="3" t="s">
        <v>183</v>
      </c>
      <c r="B9" s="3" t="s">
        <v>180</v>
      </c>
      <c r="C9" s="10">
        <v>300</v>
      </c>
      <c r="D9" s="18" t="str" cm="1">
        <f t="array" ref="D9">_xlfn.SWITCH(TRUE, C9 &gt; 600, "High", C9 &gt;= 300, "Medium", "Low")</f>
        <v>Medium</v>
      </c>
      <c r="E9" s="16" t="s">
        <v>10</v>
      </c>
      <c r="F9" s="17">
        <v>2450</v>
      </c>
      <c r="G9" s="17">
        <v>1500</v>
      </c>
      <c r="H9" s="17">
        <v>1250</v>
      </c>
      <c r="I9" s="17">
        <v>5200</v>
      </c>
    </row>
    <row r="10" spans="1:9" ht="17.25">
      <c r="A10" s="3" t="s">
        <v>182</v>
      </c>
      <c r="B10" s="3" t="s">
        <v>178</v>
      </c>
      <c r="C10" s="10">
        <v>250</v>
      </c>
      <c r="D10" s="18" t="str" cm="1">
        <f t="array" ref="D10">_xlfn.SWITCH(TRUE, C10 &gt; 600, "High", C10 &gt;= 300, "Medium", "Low")</f>
        <v>Low</v>
      </c>
    </row>
    <row r="11" spans="1:9" ht="17.25">
      <c r="A11" s="3" t="s">
        <v>182</v>
      </c>
      <c r="B11" s="3" t="s">
        <v>179</v>
      </c>
      <c r="C11" s="10">
        <v>300</v>
      </c>
      <c r="D11" s="18" t="str" cm="1">
        <f t="array" ref="D11">_xlfn.SWITCH(TRUE, C11 &gt; 600, "High", C11 &gt;= 300, "Medium", "Low")</f>
        <v>Medium</v>
      </c>
    </row>
    <row r="12" spans="1:9" ht="17.25">
      <c r="A12" s="3" t="s">
        <v>185</v>
      </c>
      <c r="B12" s="3" t="s">
        <v>180</v>
      </c>
      <c r="C12" s="10">
        <v>600</v>
      </c>
      <c r="D12" s="18" t="str" cm="1">
        <f t="array" ref="D12">_xlfn.SWITCH(TRUE, C12 &gt; 600, "High", C12 &gt;= 300, "Medium", "Low")</f>
        <v>Medium</v>
      </c>
    </row>
    <row r="13" spans="1:9" ht="17.25">
      <c r="A13" s="13" t="s">
        <v>185</v>
      </c>
      <c r="B13" s="13" t="s">
        <v>178</v>
      </c>
      <c r="C13" s="14">
        <v>400</v>
      </c>
      <c r="D13" s="18" t="str" cm="1">
        <f t="array" ref="D13">_xlfn.SWITCH(TRUE, C13 &gt; 600, "High", C13 &gt;= 300, "Medium", "Low")</f>
        <v>Medium</v>
      </c>
    </row>
    <row r="14" spans="1:9" ht="15"/>
  </sheetData>
  <conditionalFormatting pivot="1" sqref="I3:I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9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3478E7A3-2510-4C53-8BEC-FC7EE7935643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Fidel BatistaRomero</cp:lastModifiedBy>
  <cp:revision/>
  <dcterms:created xsi:type="dcterms:W3CDTF">2022-11-04T20:14:11Z</dcterms:created>
  <dcterms:modified xsi:type="dcterms:W3CDTF">2026-07-16T15:11:37Z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