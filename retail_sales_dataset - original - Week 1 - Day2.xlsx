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579" documentId="8_{60F4E73F-9134-49E3-BE8D-56ED787DB858}" xr6:coauthVersionLast="47" xr6:coauthVersionMax="47" xr10:uidLastSave="{A77112AC-619E-4056-AB17-7D8146928414}"/>
  <bookViews>
    <workbookView xWindow="-28920" yWindow="-120" windowWidth="29040" windowHeight="1572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U20" i="1"/>
  <c r="V19" i="1"/>
  <c r="U19" i="1"/>
  <c r="V18" i="1"/>
  <c r="U1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AA1006" i="1" s="1" a="1"/>
  <c r="Q18" i="1"/>
  <c r="P18" i="1"/>
  <c r="N19" i="1" a="1"/>
  <c r="X1006" i="1" a="1"/>
  <c r="X1006" i="1"/>
  <c r="Y1006" i="1" s="1"/>
  <c r="C3" i="2"/>
  <c r="C4" i="2"/>
  <c r="C5" i="2"/>
  <c r="C6" i="2"/>
  <c r="C7" i="2"/>
  <c r="C8" i="2"/>
  <c r="C9" i="2"/>
  <c r="C10" i="2"/>
  <c r="C2" i="2"/>
  <c r="F2" i="3"/>
  <c r="F4" i="3"/>
  <c r="F5" i="3"/>
  <c r="F6" i="3"/>
  <c r="F7" i="3"/>
  <c r="F8" i="3"/>
  <c r="F3" i="3"/>
  <c r="F10" i="3"/>
  <c r="F11" i="3"/>
  <c r="F9" i="3"/>
  <c r="E2" i="3"/>
  <c r="E4" i="3"/>
  <c r="E5" i="3"/>
  <c r="E6" i="3"/>
  <c r="E7" i="3"/>
  <c r="E8" i="3"/>
  <c r="E3" i="3"/>
  <c r="E10" i="3"/>
  <c r="E11" i="3"/>
  <c r="E9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L26" i="1" s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L489" i="1" s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X1017" i="1" s="1"/>
  <c r="AB1007" i="1" l="1" a="1"/>
  <c r="AB1007" i="1" s="1"/>
  <c r="AO1021" i="1"/>
  <c r="AN1021" i="1"/>
  <c r="AM1021" i="1"/>
  <c r="AL1021" i="1"/>
  <c r="AK1021" i="1"/>
  <c r="AJ1021" i="1"/>
  <c r="AF1021" i="1"/>
  <c r="AE1021" i="1"/>
  <c r="AD1021" i="1"/>
  <c r="AC1021" i="1"/>
  <c r="AB1021" i="1"/>
  <c r="AA1021" i="1"/>
  <c r="AM1019" i="1"/>
  <c r="AJ1019" i="1"/>
  <c r="AG1017" i="1"/>
  <c r="AD1019" i="1"/>
  <c r="AA1019" i="1"/>
  <c r="Y1007" i="1"/>
  <c r="Y1008" i="1"/>
  <c r="AB1008" i="1"/>
  <c r="AA1006" i="1"/>
  <c r="R18" i="1"/>
  <c r="L2" i="1"/>
  <c r="J1001" i="1"/>
  <c r="L1001" i="1"/>
  <c r="J1000" i="1"/>
  <c r="L1000" i="1"/>
  <c r="J999" i="1"/>
  <c r="L999" i="1"/>
  <c r="J998" i="1"/>
  <c r="L998" i="1"/>
  <c r="J997" i="1"/>
  <c r="L997" i="1"/>
  <c r="J996" i="1"/>
  <c r="L996" i="1"/>
  <c r="J995" i="1"/>
  <c r="L995" i="1"/>
  <c r="J994" i="1"/>
  <c r="L994" i="1"/>
  <c r="J993" i="1"/>
  <c r="L993" i="1"/>
  <c r="J992" i="1"/>
  <c r="L992" i="1"/>
  <c r="J991" i="1"/>
  <c r="L991" i="1"/>
  <c r="J990" i="1"/>
  <c r="L990" i="1"/>
  <c r="J989" i="1"/>
  <c r="L989" i="1"/>
  <c r="J988" i="1"/>
  <c r="L988" i="1"/>
  <c r="J987" i="1"/>
  <c r="L987" i="1"/>
  <c r="J986" i="1"/>
  <c r="L986" i="1"/>
  <c r="J985" i="1"/>
  <c r="L985" i="1"/>
  <c r="J984" i="1"/>
  <c r="L984" i="1"/>
  <c r="J983" i="1"/>
  <c r="L983" i="1"/>
  <c r="J982" i="1"/>
  <c r="L982" i="1"/>
  <c r="J981" i="1"/>
  <c r="L981" i="1"/>
  <c r="J980" i="1"/>
  <c r="L980" i="1"/>
  <c r="J979" i="1"/>
  <c r="L979" i="1"/>
  <c r="J978" i="1"/>
  <c r="L978" i="1"/>
  <c r="J977" i="1"/>
  <c r="L977" i="1"/>
  <c r="J976" i="1"/>
  <c r="L976" i="1"/>
  <c r="J975" i="1"/>
  <c r="L975" i="1"/>
  <c r="J974" i="1"/>
  <c r="L974" i="1"/>
  <c r="J973" i="1"/>
  <c r="L973" i="1"/>
  <c r="J972" i="1"/>
  <c r="L972" i="1"/>
  <c r="J971" i="1"/>
  <c r="L971" i="1"/>
  <c r="J970" i="1"/>
  <c r="L970" i="1"/>
  <c r="J969" i="1"/>
  <c r="L969" i="1"/>
  <c r="J968" i="1"/>
  <c r="L968" i="1"/>
  <c r="J967" i="1"/>
  <c r="L967" i="1"/>
  <c r="J966" i="1"/>
  <c r="L966" i="1"/>
  <c r="J965" i="1"/>
  <c r="L965" i="1"/>
  <c r="J964" i="1"/>
  <c r="L964" i="1"/>
  <c r="J963" i="1"/>
  <c r="L963" i="1"/>
  <c r="J962" i="1"/>
  <c r="L962" i="1"/>
  <c r="J961" i="1"/>
  <c r="L961" i="1"/>
  <c r="J960" i="1"/>
  <c r="L960" i="1"/>
  <c r="J959" i="1"/>
  <c r="L959" i="1"/>
  <c r="J958" i="1"/>
  <c r="L958" i="1"/>
  <c r="J957" i="1"/>
  <c r="L957" i="1"/>
  <c r="J956" i="1"/>
  <c r="L956" i="1"/>
  <c r="J955" i="1"/>
  <c r="L955" i="1"/>
  <c r="J954" i="1"/>
  <c r="L954" i="1"/>
  <c r="J953" i="1"/>
  <c r="L953" i="1"/>
  <c r="J952" i="1"/>
  <c r="L952" i="1"/>
  <c r="J951" i="1"/>
  <c r="L951" i="1"/>
  <c r="J950" i="1"/>
  <c r="L950" i="1"/>
  <c r="J949" i="1"/>
  <c r="L949" i="1"/>
  <c r="J948" i="1"/>
  <c r="L948" i="1"/>
  <c r="J947" i="1"/>
  <c r="L947" i="1"/>
  <c r="J946" i="1"/>
  <c r="L946" i="1"/>
  <c r="J945" i="1"/>
  <c r="L945" i="1"/>
  <c r="J944" i="1"/>
  <c r="L944" i="1"/>
  <c r="J943" i="1"/>
  <c r="L943" i="1"/>
  <c r="J942" i="1"/>
  <c r="L942" i="1"/>
  <c r="J941" i="1"/>
  <c r="L941" i="1"/>
  <c r="J940" i="1"/>
  <c r="L940" i="1"/>
  <c r="J939" i="1"/>
  <c r="L939" i="1"/>
  <c r="J938" i="1"/>
  <c r="L938" i="1"/>
  <c r="J937" i="1"/>
  <c r="L937" i="1"/>
  <c r="J936" i="1"/>
  <c r="L936" i="1"/>
  <c r="J935" i="1"/>
  <c r="L935" i="1"/>
  <c r="J934" i="1"/>
  <c r="L934" i="1"/>
  <c r="J933" i="1"/>
  <c r="L933" i="1"/>
  <c r="J932" i="1"/>
  <c r="L932" i="1"/>
  <c r="J931" i="1"/>
  <c r="L931" i="1"/>
  <c r="J930" i="1"/>
  <c r="L930" i="1"/>
  <c r="J929" i="1"/>
  <c r="L929" i="1"/>
  <c r="J928" i="1"/>
  <c r="L928" i="1"/>
  <c r="J927" i="1"/>
  <c r="L927" i="1"/>
  <c r="J926" i="1"/>
  <c r="L926" i="1"/>
  <c r="J925" i="1"/>
  <c r="L925" i="1"/>
  <c r="J924" i="1"/>
  <c r="L924" i="1"/>
  <c r="J923" i="1"/>
  <c r="L923" i="1"/>
  <c r="J922" i="1"/>
  <c r="L922" i="1"/>
  <c r="J921" i="1"/>
  <c r="L921" i="1"/>
  <c r="J920" i="1"/>
  <c r="L920" i="1"/>
  <c r="J919" i="1"/>
  <c r="L919" i="1"/>
  <c r="J918" i="1"/>
  <c r="L918" i="1"/>
  <c r="J917" i="1"/>
  <c r="L917" i="1"/>
  <c r="J916" i="1"/>
  <c r="L916" i="1"/>
  <c r="J915" i="1"/>
  <c r="L915" i="1"/>
  <c r="J914" i="1"/>
  <c r="L914" i="1"/>
  <c r="J913" i="1"/>
  <c r="L913" i="1"/>
  <c r="J912" i="1"/>
  <c r="L912" i="1"/>
  <c r="J911" i="1"/>
  <c r="L911" i="1"/>
  <c r="J910" i="1"/>
  <c r="L910" i="1"/>
  <c r="J909" i="1"/>
  <c r="L909" i="1"/>
  <c r="J908" i="1"/>
  <c r="L908" i="1"/>
  <c r="J907" i="1"/>
  <c r="L907" i="1"/>
  <c r="J906" i="1"/>
  <c r="L906" i="1"/>
  <c r="J905" i="1"/>
  <c r="L905" i="1"/>
  <c r="J904" i="1"/>
  <c r="L904" i="1"/>
  <c r="J903" i="1"/>
  <c r="L903" i="1"/>
  <c r="J902" i="1"/>
  <c r="L902" i="1"/>
  <c r="J901" i="1"/>
  <c r="L901" i="1"/>
  <c r="J900" i="1"/>
  <c r="L900" i="1"/>
  <c r="J899" i="1"/>
  <c r="L899" i="1"/>
  <c r="J898" i="1"/>
  <c r="L898" i="1"/>
  <c r="J897" i="1"/>
  <c r="L897" i="1"/>
  <c r="J896" i="1"/>
  <c r="L896" i="1"/>
  <c r="J895" i="1"/>
  <c r="L895" i="1"/>
  <c r="J894" i="1"/>
  <c r="L894" i="1"/>
  <c r="J893" i="1"/>
  <c r="L893" i="1"/>
  <c r="J892" i="1"/>
  <c r="L892" i="1"/>
  <c r="J891" i="1"/>
  <c r="L891" i="1"/>
  <c r="J890" i="1"/>
  <c r="L890" i="1"/>
  <c r="J889" i="1"/>
  <c r="L889" i="1"/>
  <c r="J888" i="1"/>
  <c r="L888" i="1"/>
  <c r="J887" i="1"/>
  <c r="L887" i="1"/>
  <c r="J886" i="1"/>
  <c r="L886" i="1"/>
  <c r="J885" i="1"/>
  <c r="L885" i="1"/>
  <c r="J884" i="1"/>
  <c r="L884" i="1"/>
  <c r="J883" i="1"/>
  <c r="L883" i="1"/>
  <c r="J882" i="1"/>
  <c r="L882" i="1"/>
  <c r="J881" i="1"/>
  <c r="L881" i="1"/>
  <c r="J880" i="1"/>
  <c r="L880" i="1"/>
  <c r="J879" i="1"/>
  <c r="L879" i="1"/>
  <c r="J878" i="1"/>
  <c r="L878" i="1"/>
  <c r="J877" i="1"/>
  <c r="L877" i="1"/>
  <c r="J876" i="1"/>
  <c r="L876" i="1"/>
  <c r="J875" i="1"/>
  <c r="L875" i="1"/>
  <c r="J874" i="1"/>
  <c r="L874" i="1"/>
  <c r="J873" i="1"/>
  <c r="L873" i="1"/>
  <c r="J872" i="1"/>
  <c r="L872" i="1"/>
  <c r="J871" i="1"/>
  <c r="L871" i="1"/>
  <c r="J870" i="1"/>
  <c r="L870" i="1"/>
  <c r="J869" i="1"/>
  <c r="L869" i="1"/>
  <c r="J868" i="1"/>
  <c r="L868" i="1"/>
  <c r="J867" i="1"/>
  <c r="L867" i="1"/>
  <c r="J866" i="1"/>
  <c r="L866" i="1"/>
  <c r="J865" i="1"/>
  <c r="L865" i="1"/>
  <c r="J864" i="1"/>
  <c r="L864" i="1"/>
  <c r="J863" i="1"/>
  <c r="L863" i="1"/>
  <c r="J862" i="1"/>
  <c r="L862" i="1"/>
  <c r="J861" i="1"/>
  <c r="L861" i="1"/>
  <c r="J860" i="1"/>
  <c r="L860" i="1"/>
  <c r="J859" i="1"/>
  <c r="L859" i="1"/>
  <c r="J858" i="1"/>
  <c r="L858" i="1"/>
  <c r="J857" i="1"/>
  <c r="L857" i="1"/>
  <c r="J856" i="1"/>
  <c r="L856" i="1"/>
  <c r="J855" i="1"/>
  <c r="L855" i="1"/>
  <c r="J854" i="1"/>
  <c r="L854" i="1"/>
  <c r="J853" i="1"/>
  <c r="L853" i="1"/>
  <c r="J852" i="1"/>
  <c r="L852" i="1"/>
  <c r="J851" i="1"/>
  <c r="L851" i="1"/>
  <c r="J850" i="1"/>
  <c r="L850" i="1"/>
  <c r="J849" i="1"/>
  <c r="L849" i="1"/>
  <c r="J848" i="1"/>
  <c r="L848" i="1"/>
  <c r="J847" i="1"/>
  <c r="L847" i="1"/>
  <c r="J846" i="1"/>
  <c r="L846" i="1"/>
  <c r="J845" i="1"/>
  <c r="L845" i="1"/>
  <c r="J844" i="1"/>
  <c r="L844" i="1"/>
  <c r="J843" i="1"/>
  <c r="L843" i="1"/>
  <c r="J842" i="1"/>
  <c r="L842" i="1"/>
  <c r="J841" i="1"/>
  <c r="L841" i="1"/>
  <c r="J840" i="1"/>
  <c r="L840" i="1"/>
  <c r="J839" i="1"/>
  <c r="L839" i="1"/>
  <c r="J838" i="1"/>
  <c r="L838" i="1"/>
  <c r="J837" i="1"/>
  <c r="L837" i="1"/>
  <c r="J836" i="1"/>
  <c r="L836" i="1"/>
  <c r="J835" i="1"/>
  <c r="L835" i="1"/>
  <c r="J834" i="1"/>
  <c r="L834" i="1"/>
  <c r="J833" i="1"/>
  <c r="L833" i="1"/>
  <c r="J832" i="1"/>
  <c r="L832" i="1"/>
  <c r="J831" i="1"/>
  <c r="L831" i="1"/>
  <c r="J830" i="1"/>
  <c r="L830" i="1"/>
  <c r="J829" i="1"/>
  <c r="L829" i="1"/>
  <c r="J828" i="1"/>
  <c r="L828" i="1"/>
  <c r="J827" i="1"/>
  <c r="L827" i="1"/>
  <c r="J826" i="1"/>
  <c r="L826" i="1"/>
  <c r="J825" i="1"/>
  <c r="L825" i="1"/>
  <c r="J824" i="1"/>
  <c r="L824" i="1"/>
  <c r="J823" i="1"/>
  <c r="L823" i="1"/>
  <c r="J822" i="1"/>
  <c r="L822" i="1"/>
  <c r="J821" i="1"/>
  <c r="L821" i="1"/>
  <c r="J820" i="1"/>
  <c r="L820" i="1"/>
  <c r="J819" i="1"/>
  <c r="L819" i="1"/>
  <c r="J818" i="1"/>
  <c r="L818" i="1"/>
  <c r="J817" i="1"/>
  <c r="L817" i="1"/>
  <c r="J816" i="1"/>
  <c r="L816" i="1"/>
  <c r="J815" i="1"/>
  <c r="L815" i="1"/>
  <c r="J814" i="1"/>
  <c r="L814" i="1"/>
  <c r="J813" i="1"/>
  <c r="L813" i="1"/>
  <c r="J812" i="1"/>
  <c r="L812" i="1"/>
  <c r="J811" i="1"/>
  <c r="L811" i="1"/>
  <c r="J810" i="1"/>
  <c r="L810" i="1"/>
  <c r="J809" i="1"/>
  <c r="L809" i="1"/>
  <c r="J808" i="1"/>
  <c r="L808" i="1"/>
  <c r="J807" i="1"/>
  <c r="L807" i="1"/>
  <c r="J806" i="1"/>
  <c r="L806" i="1"/>
  <c r="J805" i="1"/>
  <c r="L805" i="1"/>
  <c r="J804" i="1"/>
  <c r="L804" i="1"/>
  <c r="J803" i="1"/>
  <c r="L803" i="1"/>
  <c r="J802" i="1"/>
  <c r="L802" i="1"/>
  <c r="J801" i="1"/>
  <c r="L801" i="1"/>
  <c r="J800" i="1"/>
  <c r="L800" i="1"/>
  <c r="J799" i="1"/>
  <c r="L799" i="1"/>
  <c r="J798" i="1"/>
  <c r="L798" i="1"/>
  <c r="J797" i="1"/>
  <c r="L797" i="1"/>
  <c r="J796" i="1"/>
  <c r="L796" i="1"/>
  <c r="J795" i="1"/>
  <c r="L795" i="1"/>
  <c r="J794" i="1"/>
  <c r="L794" i="1"/>
  <c r="J793" i="1"/>
  <c r="L793" i="1"/>
  <c r="J792" i="1"/>
  <c r="L792" i="1"/>
  <c r="J791" i="1"/>
  <c r="L791" i="1"/>
  <c r="J790" i="1"/>
  <c r="L790" i="1"/>
  <c r="J789" i="1"/>
  <c r="L789" i="1"/>
  <c r="J788" i="1"/>
  <c r="L788" i="1"/>
  <c r="J787" i="1"/>
  <c r="L787" i="1"/>
  <c r="J786" i="1"/>
  <c r="L786" i="1"/>
  <c r="J785" i="1"/>
  <c r="L785" i="1"/>
  <c r="J784" i="1"/>
  <c r="L784" i="1"/>
  <c r="J783" i="1"/>
  <c r="L783" i="1"/>
  <c r="J782" i="1"/>
  <c r="L782" i="1"/>
  <c r="J781" i="1"/>
  <c r="L781" i="1"/>
  <c r="J780" i="1"/>
  <c r="L780" i="1"/>
  <c r="J779" i="1"/>
  <c r="L779" i="1"/>
  <c r="J778" i="1"/>
  <c r="L778" i="1"/>
  <c r="J777" i="1"/>
  <c r="L777" i="1"/>
  <c r="J776" i="1"/>
  <c r="L776" i="1"/>
  <c r="J775" i="1"/>
  <c r="L775" i="1"/>
  <c r="J774" i="1"/>
  <c r="L774" i="1"/>
  <c r="J773" i="1"/>
  <c r="L773" i="1"/>
  <c r="J772" i="1"/>
  <c r="L772" i="1"/>
  <c r="J771" i="1"/>
  <c r="L771" i="1"/>
  <c r="J770" i="1"/>
  <c r="L770" i="1"/>
  <c r="J769" i="1"/>
  <c r="L769" i="1"/>
  <c r="J768" i="1"/>
  <c r="L768" i="1"/>
  <c r="J767" i="1"/>
  <c r="L767" i="1"/>
  <c r="J766" i="1"/>
  <c r="L766" i="1"/>
  <c r="J765" i="1"/>
  <c r="L765" i="1"/>
  <c r="J764" i="1"/>
  <c r="L764" i="1"/>
  <c r="J763" i="1"/>
  <c r="L763" i="1"/>
  <c r="J762" i="1"/>
  <c r="L762" i="1"/>
  <c r="J761" i="1"/>
  <c r="L761" i="1"/>
  <c r="J760" i="1"/>
  <c r="L760" i="1"/>
  <c r="J759" i="1"/>
  <c r="L759" i="1"/>
  <c r="J758" i="1"/>
  <c r="L758" i="1"/>
  <c r="J757" i="1"/>
  <c r="L757" i="1"/>
  <c r="J756" i="1"/>
  <c r="L756" i="1"/>
  <c r="J755" i="1"/>
  <c r="L755" i="1"/>
  <c r="J754" i="1"/>
  <c r="L754" i="1"/>
  <c r="J753" i="1"/>
  <c r="L753" i="1"/>
  <c r="J752" i="1"/>
  <c r="L752" i="1"/>
  <c r="J751" i="1"/>
  <c r="L751" i="1"/>
  <c r="J750" i="1"/>
  <c r="L750" i="1"/>
  <c r="J749" i="1"/>
  <c r="L749" i="1"/>
  <c r="J748" i="1"/>
  <c r="L748" i="1"/>
  <c r="J747" i="1"/>
  <c r="L747" i="1"/>
  <c r="J746" i="1"/>
  <c r="L746" i="1"/>
  <c r="J745" i="1"/>
  <c r="L745" i="1"/>
  <c r="J744" i="1"/>
  <c r="L744" i="1"/>
  <c r="J743" i="1"/>
  <c r="L743" i="1"/>
  <c r="J742" i="1"/>
  <c r="L742" i="1"/>
  <c r="J741" i="1"/>
  <c r="L741" i="1"/>
  <c r="J740" i="1"/>
  <c r="L740" i="1"/>
  <c r="J739" i="1"/>
  <c r="L739" i="1"/>
  <c r="J738" i="1"/>
  <c r="L738" i="1"/>
  <c r="J737" i="1"/>
  <c r="L737" i="1"/>
  <c r="J736" i="1"/>
  <c r="L736" i="1"/>
  <c r="J735" i="1"/>
  <c r="L735" i="1"/>
  <c r="J734" i="1"/>
  <c r="L734" i="1"/>
  <c r="J733" i="1"/>
  <c r="L733" i="1"/>
  <c r="J732" i="1"/>
  <c r="L732" i="1"/>
  <c r="J731" i="1"/>
  <c r="L731" i="1"/>
  <c r="J730" i="1"/>
  <c r="L730" i="1"/>
  <c r="J729" i="1"/>
  <c r="L729" i="1"/>
  <c r="J728" i="1"/>
  <c r="L728" i="1"/>
  <c r="J727" i="1"/>
  <c r="L727" i="1"/>
  <c r="J726" i="1"/>
  <c r="L726" i="1"/>
  <c r="J725" i="1"/>
  <c r="L725" i="1"/>
  <c r="J724" i="1"/>
  <c r="L724" i="1"/>
  <c r="J723" i="1"/>
  <c r="L723" i="1"/>
  <c r="J722" i="1"/>
  <c r="L722" i="1"/>
  <c r="J721" i="1"/>
  <c r="L721" i="1"/>
  <c r="J720" i="1"/>
  <c r="L720" i="1"/>
  <c r="J719" i="1"/>
  <c r="L719" i="1"/>
  <c r="J718" i="1"/>
  <c r="L718" i="1"/>
  <c r="J717" i="1"/>
  <c r="L717" i="1"/>
  <c r="J716" i="1"/>
  <c r="L716" i="1"/>
  <c r="J715" i="1"/>
  <c r="L715" i="1"/>
  <c r="J714" i="1"/>
  <c r="L714" i="1"/>
  <c r="J713" i="1"/>
  <c r="L713" i="1"/>
  <c r="J712" i="1"/>
  <c r="L712" i="1"/>
  <c r="J711" i="1"/>
  <c r="L711" i="1"/>
  <c r="J710" i="1"/>
  <c r="L710" i="1"/>
  <c r="J709" i="1"/>
  <c r="L709" i="1"/>
  <c r="J708" i="1"/>
  <c r="L708" i="1"/>
  <c r="J707" i="1"/>
  <c r="L707" i="1"/>
  <c r="J706" i="1"/>
  <c r="L706" i="1"/>
  <c r="J705" i="1"/>
  <c r="L705" i="1"/>
  <c r="J704" i="1"/>
  <c r="L704" i="1"/>
  <c r="J703" i="1"/>
  <c r="L703" i="1"/>
  <c r="J702" i="1"/>
  <c r="L702" i="1"/>
  <c r="J701" i="1"/>
  <c r="L701" i="1"/>
  <c r="J700" i="1"/>
  <c r="L700" i="1"/>
  <c r="J699" i="1"/>
  <c r="L699" i="1"/>
  <c r="J698" i="1"/>
  <c r="L698" i="1"/>
  <c r="J697" i="1"/>
  <c r="L697" i="1"/>
  <c r="J696" i="1"/>
  <c r="L696" i="1"/>
  <c r="J695" i="1"/>
  <c r="L695" i="1"/>
  <c r="J694" i="1"/>
  <c r="L694" i="1"/>
  <c r="J693" i="1"/>
  <c r="L693" i="1"/>
  <c r="J692" i="1"/>
  <c r="L692" i="1"/>
  <c r="J691" i="1"/>
  <c r="L691" i="1"/>
  <c r="J690" i="1"/>
  <c r="L690" i="1"/>
  <c r="J689" i="1"/>
  <c r="L689" i="1"/>
  <c r="J688" i="1"/>
  <c r="L688" i="1"/>
  <c r="J687" i="1"/>
  <c r="L687" i="1"/>
  <c r="J686" i="1"/>
  <c r="L686" i="1"/>
  <c r="J685" i="1"/>
  <c r="L685" i="1"/>
  <c r="J684" i="1"/>
  <c r="L684" i="1"/>
  <c r="J683" i="1"/>
  <c r="L683" i="1"/>
  <c r="J682" i="1"/>
  <c r="L682" i="1"/>
  <c r="J681" i="1"/>
  <c r="L681" i="1"/>
  <c r="J680" i="1"/>
  <c r="L680" i="1"/>
  <c r="J679" i="1"/>
  <c r="L679" i="1"/>
  <c r="J678" i="1"/>
  <c r="L678" i="1"/>
  <c r="J677" i="1"/>
  <c r="L677" i="1"/>
  <c r="J676" i="1"/>
  <c r="L676" i="1"/>
  <c r="J675" i="1"/>
  <c r="L675" i="1"/>
  <c r="J674" i="1"/>
  <c r="L674" i="1"/>
  <c r="J673" i="1"/>
  <c r="L673" i="1"/>
  <c r="J672" i="1"/>
  <c r="L672" i="1"/>
  <c r="J671" i="1"/>
  <c r="L671" i="1"/>
  <c r="J670" i="1"/>
  <c r="L670" i="1"/>
  <c r="J669" i="1"/>
  <c r="L669" i="1"/>
  <c r="J668" i="1"/>
  <c r="L668" i="1"/>
  <c r="J667" i="1"/>
  <c r="L667" i="1"/>
  <c r="J666" i="1"/>
  <c r="L666" i="1"/>
  <c r="J665" i="1"/>
  <c r="L665" i="1"/>
  <c r="J664" i="1"/>
  <c r="L664" i="1"/>
  <c r="J663" i="1"/>
  <c r="L663" i="1"/>
  <c r="J662" i="1"/>
  <c r="L662" i="1"/>
  <c r="J661" i="1"/>
  <c r="L661" i="1"/>
  <c r="J660" i="1"/>
  <c r="L660" i="1"/>
  <c r="J659" i="1"/>
  <c r="L659" i="1"/>
  <c r="J658" i="1"/>
  <c r="L658" i="1"/>
  <c r="J657" i="1"/>
  <c r="L657" i="1"/>
  <c r="J656" i="1"/>
  <c r="L656" i="1"/>
  <c r="J655" i="1"/>
  <c r="L655" i="1"/>
  <c r="J654" i="1"/>
  <c r="L654" i="1"/>
  <c r="J653" i="1"/>
  <c r="L653" i="1"/>
  <c r="J652" i="1"/>
  <c r="L652" i="1"/>
  <c r="J651" i="1"/>
  <c r="L651" i="1"/>
  <c r="J650" i="1"/>
  <c r="L650" i="1"/>
  <c r="J649" i="1"/>
  <c r="L649" i="1"/>
  <c r="J648" i="1"/>
  <c r="L648" i="1"/>
  <c r="J647" i="1"/>
  <c r="L647" i="1"/>
  <c r="J646" i="1"/>
  <c r="L646" i="1"/>
  <c r="J645" i="1"/>
  <c r="L645" i="1"/>
  <c r="J644" i="1"/>
  <c r="L644" i="1"/>
  <c r="J643" i="1"/>
  <c r="L643" i="1"/>
  <c r="J642" i="1"/>
  <c r="L642" i="1"/>
  <c r="J641" i="1"/>
  <c r="L641" i="1"/>
  <c r="J640" i="1"/>
  <c r="L640" i="1"/>
  <c r="J639" i="1"/>
  <c r="L639" i="1"/>
  <c r="J638" i="1"/>
  <c r="L638" i="1"/>
  <c r="J637" i="1"/>
  <c r="L637" i="1"/>
  <c r="J636" i="1"/>
  <c r="L636" i="1"/>
  <c r="J635" i="1"/>
  <c r="L635" i="1"/>
  <c r="J634" i="1"/>
  <c r="L634" i="1"/>
  <c r="J633" i="1"/>
  <c r="L633" i="1"/>
  <c r="J632" i="1"/>
  <c r="L632" i="1"/>
  <c r="J631" i="1"/>
  <c r="L631" i="1"/>
  <c r="J630" i="1"/>
  <c r="L630" i="1"/>
  <c r="J629" i="1"/>
  <c r="L629" i="1"/>
  <c r="J628" i="1"/>
  <c r="L628" i="1"/>
  <c r="J627" i="1"/>
  <c r="L627" i="1"/>
  <c r="J626" i="1"/>
  <c r="L626" i="1"/>
  <c r="J625" i="1"/>
  <c r="L625" i="1"/>
  <c r="J624" i="1"/>
  <c r="L624" i="1"/>
  <c r="J623" i="1"/>
  <c r="L623" i="1"/>
  <c r="J622" i="1"/>
  <c r="L622" i="1"/>
  <c r="J621" i="1"/>
  <c r="L621" i="1"/>
  <c r="J620" i="1"/>
  <c r="L620" i="1"/>
  <c r="J619" i="1"/>
  <c r="L619" i="1"/>
  <c r="J618" i="1"/>
  <c r="L618" i="1"/>
  <c r="J617" i="1"/>
  <c r="L617" i="1"/>
  <c r="J616" i="1"/>
  <c r="L616" i="1"/>
  <c r="J615" i="1"/>
  <c r="L615" i="1"/>
  <c r="J614" i="1"/>
  <c r="L614" i="1"/>
  <c r="J613" i="1"/>
  <c r="L613" i="1"/>
  <c r="J612" i="1"/>
  <c r="L612" i="1"/>
  <c r="J611" i="1"/>
  <c r="L611" i="1"/>
  <c r="J610" i="1"/>
  <c r="L610" i="1"/>
  <c r="J609" i="1"/>
  <c r="L609" i="1"/>
  <c r="J608" i="1"/>
  <c r="L608" i="1"/>
  <c r="J607" i="1"/>
  <c r="L607" i="1"/>
  <c r="J606" i="1"/>
  <c r="L606" i="1"/>
  <c r="J605" i="1"/>
  <c r="L605" i="1"/>
  <c r="J604" i="1"/>
  <c r="L604" i="1"/>
  <c r="J603" i="1"/>
  <c r="L603" i="1"/>
  <c r="J602" i="1"/>
  <c r="L602" i="1"/>
  <c r="J601" i="1"/>
  <c r="L601" i="1"/>
  <c r="J600" i="1"/>
  <c r="L600" i="1"/>
  <c r="J599" i="1"/>
  <c r="L599" i="1"/>
  <c r="J598" i="1"/>
  <c r="L598" i="1"/>
  <c r="J597" i="1"/>
  <c r="L597" i="1"/>
  <c r="J596" i="1"/>
  <c r="L596" i="1"/>
  <c r="J595" i="1"/>
  <c r="L595" i="1"/>
  <c r="J594" i="1"/>
  <c r="L594" i="1"/>
  <c r="J593" i="1"/>
  <c r="L593" i="1"/>
  <c r="J592" i="1"/>
  <c r="L592" i="1"/>
  <c r="J591" i="1"/>
  <c r="L591" i="1"/>
  <c r="J590" i="1"/>
  <c r="L590" i="1"/>
  <c r="J589" i="1"/>
  <c r="L589" i="1"/>
  <c r="J588" i="1"/>
  <c r="L588" i="1"/>
  <c r="J587" i="1"/>
  <c r="L587" i="1"/>
  <c r="J586" i="1"/>
  <c r="L586" i="1"/>
  <c r="J585" i="1"/>
  <c r="L585" i="1"/>
  <c r="J584" i="1"/>
  <c r="L584" i="1"/>
  <c r="J583" i="1"/>
  <c r="L583" i="1"/>
  <c r="J582" i="1"/>
  <c r="L582" i="1"/>
  <c r="J581" i="1"/>
  <c r="L581" i="1"/>
  <c r="J580" i="1"/>
  <c r="L580" i="1"/>
  <c r="J579" i="1"/>
  <c r="L579" i="1"/>
  <c r="J578" i="1"/>
  <c r="L578" i="1"/>
  <c r="J577" i="1"/>
  <c r="L577" i="1"/>
  <c r="J576" i="1"/>
  <c r="L576" i="1"/>
  <c r="J575" i="1"/>
  <c r="L575" i="1"/>
  <c r="J574" i="1"/>
  <c r="L574" i="1"/>
  <c r="J573" i="1"/>
  <c r="L573" i="1"/>
  <c r="J572" i="1"/>
  <c r="L572" i="1"/>
  <c r="J571" i="1"/>
  <c r="L571" i="1"/>
  <c r="J570" i="1"/>
  <c r="L570" i="1"/>
  <c r="J569" i="1"/>
  <c r="L569" i="1"/>
  <c r="J568" i="1"/>
  <c r="L568" i="1"/>
  <c r="J567" i="1"/>
  <c r="L567" i="1"/>
  <c r="J566" i="1"/>
  <c r="L566" i="1"/>
  <c r="J565" i="1"/>
  <c r="L565" i="1"/>
  <c r="J564" i="1"/>
  <c r="L564" i="1"/>
  <c r="J563" i="1"/>
  <c r="L563" i="1"/>
  <c r="J562" i="1"/>
  <c r="L562" i="1"/>
  <c r="J561" i="1"/>
  <c r="L561" i="1"/>
  <c r="J560" i="1"/>
  <c r="L560" i="1"/>
  <c r="J559" i="1"/>
  <c r="L559" i="1"/>
  <c r="J558" i="1"/>
  <c r="L558" i="1"/>
  <c r="J557" i="1"/>
  <c r="L557" i="1"/>
  <c r="J556" i="1"/>
  <c r="L556" i="1"/>
  <c r="J555" i="1"/>
  <c r="L555" i="1"/>
  <c r="J554" i="1"/>
  <c r="L554" i="1"/>
  <c r="J553" i="1"/>
  <c r="L553" i="1"/>
  <c r="J552" i="1"/>
  <c r="L552" i="1"/>
  <c r="J551" i="1"/>
  <c r="L551" i="1"/>
  <c r="J550" i="1"/>
  <c r="L550" i="1"/>
  <c r="J549" i="1"/>
  <c r="L549" i="1"/>
  <c r="J548" i="1"/>
  <c r="L548" i="1"/>
  <c r="J547" i="1"/>
  <c r="L547" i="1"/>
  <c r="J546" i="1"/>
  <c r="L546" i="1"/>
  <c r="J545" i="1"/>
  <c r="L545" i="1"/>
  <c r="J544" i="1"/>
  <c r="L544" i="1"/>
  <c r="J543" i="1"/>
  <c r="L543" i="1"/>
  <c r="J542" i="1"/>
  <c r="L542" i="1"/>
  <c r="J541" i="1"/>
  <c r="L541" i="1"/>
  <c r="J540" i="1"/>
  <c r="L540" i="1"/>
  <c r="J539" i="1"/>
  <c r="L539" i="1"/>
  <c r="J538" i="1"/>
  <c r="L538" i="1"/>
  <c r="J537" i="1"/>
  <c r="L537" i="1"/>
  <c r="J536" i="1"/>
  <c r="L536" i="1"/>
  <c r="J535" i="1"/>
  <c r="L535" i="1"/>
  <c r="J534" i="1"/>
  <c r="L534" i="1"/>
  <c r="J533" i="1"/>
  <c r="L533" i="1"/>
  <c r="J532" i="1"/>
  <c r="L532" i="1"/>
  <c r="J531" i="1"/>
  <c r="L531" i="1"/>
  <c r="J530" i="1"/>
  <c r="L530" i="1"/>
  <c r="J529" i="1"/>
  <c r="L529" i="1"/>
  <c r="J528" i="1"/>
  <c r="L528" i="1"/>
  <c r="J527" i="1"/>
  <c r="L527" i="1"/>
  <c r="J526" i="1"/>
  <c r="L526" i="1"/>
  <c r="J525" i="1"/>
  <c r="L525" i="1"/>
  <c r="J524" i="1"/>
  <c r="L524" i="1"/>
  <c r="J523" i="1"/>
  <c r="L523" i="1"/>
  <c r="J522" i="1"/>
  <c r="L522" i="1"/>
  <c r="J521" i="1"/>
  <c r="L521" i="1"/>
  <c r="J520" i="1"/>
  <c r="L520" i="1"/>
  <c r="J519" i="1"/>
  <c r="L519" i="1"/>
  <c r="J518" i="1"/>
  <c r="L518" i="1"/>
  <c r="J517" i="1"/>
  <c r="L517" i="1"/>
  <c r="J516" i="1"/>
  <c r="L516" i="1"/>
  <c r="J515" i="1"/>
  <c r="L515" i="1"/>
  <c r="J514" i="1"/>
  <c r="L514" i="1"/>
  <c r="J513" i="1"/>
  <c r="L513" i="1"/>
  <c r="J512" i="1"/>
  <c r="L512" i="1"/>
  <c r="J511" i="1"/>
  <c r="L511" i="1"/>
  <c r="J510" i="1"/>
  <c r="L510" i="1"/>
  <c r="J509" i="1"/>
  <c r="L509" i="1"/>
  <c r="J508" i="1"/>
  <c r="L508" i="1"/>
  <c r="J507" i="1"/>
  <c r="L507" i="1"/>
  <c r="J506" i="1"/>
  <c r="L506" i="1"/>
  <c r="J505" i="1"/>
  <c r="L505" i="1"/>
  <c r="J504" i="1"/>
  <c r="L504" i="1"/>
  <c r="J503" i="1"/>
  <c r="L503" i="1"/>
  <c r="J502" i="1"/>
  <c r="L502" i="1"/>
  <c r="J501" i="1"/>
  <c r="L501" i="1"/>
  <c r="J500" i="1"/>
  <c r="L500" i="1"/>
  <c r="J499" i="1"/>
  <c r="L499" i="1"/>
  <c r="J498" i="1"/>
  <c r="L498" i="1"/>
  <c r="J497" i="1"/>
  <c r="L497" i="1"/>
  <c r="J496" i="1"/>
  <c r="L496" i="1"/>
  <c r="J495" i="1"/>
  <c r="L495" i="1"/>
  <c r="J494" i="1"/>
  <c r="L494" i="1"/>
  <c r="J493" i="1"/>
  <c r="L493" i="1"/>
  <c r="J492" i="1"/>
  <c r="L492" i="1"/>
  <c r="J491" i="1"/>
  <c r="L491" i="1"/>
  <c r="J490" i="1"/>
  <c r="L490" i="1"/>
  <c r="J488" i="1"/>
  <c r="L488" i="1"/>
  <c r="J487" i="1"/>
  <c r="L487" i="1"/>
  <c r="J486" i="1"/>
  <c r="L486" i="1"/>
  <c r="J485" i="1"/>
  <c r="L485" i="1"/>
  <c r="J484" i="1"/>
  <c r="L484" i="1"/>
  <c r="J483" i="1"/>
  <c r="L483" i="1"/>
  <c r="J482" i="1"/>
  <c r="L482" i="1"/>
  <c r="J481" i="1"/>
  <c r="L481" i="1"/>
  <c r="J480" i="1"/>
  <c r="L480" i="1"/>
  <c r="J479" i="1"/>
  <c r="L479" i="1"/>
  <c r="J478" i="1"/>
  <c r="L478" i="1"/>
  <c r="J477" i="1"/>
  <c r="L477" i="1"/>
  <c r="J476" i="1"/>
  <c r="L476" i="1"/>
  <c r="J475" i="1"/>
  <c r="L475" i="1"/>
  <c r="J474" i="1"/>
  <c r="L474" i="1"/>
  <c r="J473" i="1"/>
  <c r="L473" i="1"/>
  <c r="J472" i="1"/>
  <c r="L472" i="1"/>
  <c r="J471" i="1"/>
  <c r="L471" i="1"/>
  <c r="J470" i="1"/>
  <c r="L470" i="1"/>
  <c r="J469" i="1"/>
  <c r="L469" i="1"/>
  <c r="J468" i="1"/>
  <c r="L468" i="1"/>
  <c r="J467" i="1"/>
  <c r="L467" i="1"/>
  <c r="J466" i="1"/>
  <c r="L466" i="1"/>
  <c r="J465" i="1"/>
  <c r="L465" i="1"/>
  <c r="J464" i="1"/>
  <c r="L464" i="1"/>
  <c r="J463" i="1"/>
  <c r="L463" i="1"/>
  <c r="J462" i="1"/>
  <c r="L462" i="1"/>
  <c r="J461" i="1"/>
  <c r="L461" i="1"/>
  <c r="J460" i="1"/>
  <c r="L460" i="1"/>
  <c r="J459" i="1"/>
  <c r="L459" i="1"/>
  <c r="J458" i="1"/>
  <c r="L458" i="1"/>
  <c r="J457" i="1"/>
  <c r="L457" i="1"/>
  <c r="J456" i="1"/>
  <c r="L456" i="1"/>
  <c r="J455" i="1"/>
  <c r="L455" i="1"/>
  <c r="J454" i="1"/>
  <c r="L454" i="1"/>
  <c r="J453" i="1"/>
  <c r="L453" i="1"/>
  <c r="J452" i="1"/>
  <c r="L452" i="1"/>
  <c r="J451" i="1"/>
  <c r="L451" i="1"/>
  <c r="J450" i="1"/>
  <c r="L450" i="1"/>
  <c r="J449" i="1"/>
  <c r="L449" i="1"/>
  <c r="J448" i="1"/>
  <c r="L448" i="1"/>
  <c r="J447" i="1"/>
  <c r="L447" i="1"/>
  <c r="J446" i="1"/>
  <c r="L446" i="1"/>
  <c r="J445" i="1"/>
  <c r="L445" i="1"/>
  <c r="J444" i="1"/>
  <c r="L444" i="1"/>
  <c r="J443" i="1"/>
  <c r="L443" i="1"/>
  <c r="J442" i="1"/>
  <c r="L442" i="1"/>
  <c r="J441" i="1"/>
  <c r="L441" i="1"/>
  <c r="J440" i="1"/>
  <c r="L440" i="1"/>
  <c r="J439" i="1"/>
  <c r="L439" i="1"/>
  <c r="J438" i="1"/>
  <c r="L438" i="1"/>
  <c r="J437" i="1"/>
  <c r="L437" i="1"/>
  <c r="J436" i="1"/>
  <c r="L436" i="1"/>
  <c r="J435" i="1"/>
  <c r="L435" i="1"/>
  <c r="J434" i="1"/>
  <c r="L434" i="1"/>
  <c r="J433" i="1"/>
  <c r="L433" i="1"/>
  <c r="J432" i="1"/>
  <c r="L432" i="1"/>
  <c r="J431" i="1"/>
  <c r="L431" i="1"/>
  <c r="J430" i="1"/>
  <c r="L430" i="1"/>
  <c r="J429" i="1"/>
  <c r="L429" i="1"/>
  <c r="J428" i="1"/>
  <c r="L428" i="1"/>
  <c r="J427" i="1"/>
  <c r="L427" i="1"/>
  <c r="J426" i="1"/>
  <c r="L426" i="1"/>
  <c r="J425" i="1"/>
  <c r="L425" i="1"/>
  <c r="J424" i="1"/>
  <c r="L424" i="1"/>
  <c r="J423" i="1"/>
  <c r="L423" i="1"/>
  <c r="J422" i="1"/>
  <c r="L422" i="1"/>
  <c r="J421" i="1"/>
  <c r="L421" i="1"/>
  <c r="J420" i="1"/>
  <c r="L420" i="1"/>
  <c r="J419" i="1"/>
  <c r="L419" i="1"/>
  <c r="J418" i="1"/>
  <c r="L418" i="1"/>
  <c r="J417" i="1"/>
  <c r="L417" i="1"/>
  <c r="J416" i="1"/>
  <c r="L416" i="1"/>
  <c r="J415" i="1"/>
  <c r="L415" i="1"/>
  <c r="J414" i="1"/>
  <c r="L414" i="1"/>
  <c r="J413" i="1"/>
  <c r="L413" i="1"/>
  <c r="J412" i="1"/>
  <c r="L412" i="1"/>
  <c r="J411" i="1"/>
  <c r="L411" i="1"/>
  <c r="J410" i="1"/>
  <c r="L410" i="1"/>
  <c r="J409" i="1"/>
  <c r="L409" i="1"/>
  <c r="J408" i="1"/>
  <c r="L408" i="1"/>
  <c r="J407" i="1"/>
  <c r="L407" i="1"/>
  <c r="J406" i="1"/>
  <c r="L406" i="1"/>
  <c r="J405" i="1"/>
  <c r="L405" i="1"/>
  <c r="J404" i="1"/>
  <c r="L404" i="1"/>
  <c r="J403" i="1"/>
  <c r="L403" i="1"/>
  <c r="J402" i="1"/>
  <c r="L402" i="1"/>
  <c r="J401" i="1"/>
  <c r="L401" i="1"/>
  <c r="J400" i="1"/>
  <c r="L400" i="1"/>
  <c r="J399" i="1"/>
  <c r="L399" i="1"/>
  <c r="J398" i="1"/>
  <c r="L398" i="1"/>
  <c r="J397" i="1"/>
  <c r="L397" i="1"/>
  <c r="J396" i="1"/>
  <c r="L396" i="1"/>
  <c r="J395" i="1"/>
  <c r="L395" i="1"/>
  <c r="J394" i="1"/>
  <c r="L394" i="1"/>
  <c r="J393" i="1"/>
  <c r="L393" i="1"/>
  <c r="J392" i="1"/>
  <c r="L392" i="1"/>
  <c r="J391" i="1"/>
  <c r="L391" i="1"/>
  <c r="J390" i="1"/>
  <c r="L390" i="1"/>
  <c r="J389" i="1"/>
  <c r="L389" i="1"/>
  <c r="J388" i="1"/>
  <c r="L388" i="1"/>
  <c r="J387" i="1"/>
  <c r="L387" i="1"/>
  <c r="J386" i="1"/>
  <c r="L386" i="1"/>
  <c r="J385" i="1"/>
  <c r="L385" i="1"/>
  <c r="J384" i="1"/>
  <c r="L384" i="1"/>
  <c r="J383" i="1"/>
  <c r="L383" i="1"/>
  <c r="J382" i="1"/>
  <c r="L382" i="1"/>
  <c r="J381" i="1"/>
  <c r="L381" i="1"/>
  <c r="J380" i="1"/>
  <c r="L380" i="1"/>
  <c r="J379" i="1"/>
  <c r="L379" i="1"/>
  <c r="J378" i="1"/>
  <c r="L378" i="1"/>
  <c r="J377" i="1"/>
  <c r="L377" i="1"/>
  <c r="J376" i="1"/>
  <c r="L376" i="1"/>
  <c r="J375" i="1"/>
  <c r="L375" i="1"/>
  <c r="J374" i="1"/>
  <c r="L374" i="1"/>
  <c r="J373" i="1"/>
  <c r="L373" i="1"/>
  <c r="J372" i="1"/>
  <c r="L372" i="1"/>
  <c r="J371" i="1"/>
  <c r="L371" i="1"/>
  <c r="J370" i="1"/>
  <c r="L370" i="1"/>
  <c r="J369" i="1"/>
  <c r="L369" i="1"/>
  <c r="J368" i="1"/>
  <c r="L368" i="1"/>
  <c r="J367" i="1"/>
  <c r="L367" i="1"/>
  <c r="J366" i="1"/>
  <c r="L366" i="1"/>
  <c r="J365" i="1"/>
  <c r="L365" i="1"/>
  <c r="J364" i="1"/>
  <c r="L364" i="1"/>
  <c r="J363" i="1"/>
  <c r="L363" i="1"/>
  <c r="J362" i="1"/>
  <c r="L362" i="1"/>
  <c r="J361" i="1"/>
  <c r="L361" i="1"/>
  <c r="J360" i="1"/>
  <c r="L360" i="1"/>
  <c r="J359" i="1"/>
  <c r="L359" i="1"/>
  <c r="J358" i="1"/>
  <c r="L358" i="1"/>
  <c r="J357" i="1"/>
  <c r="L357" i="1"/>
  <c r="J356" i="1"/>
  <c r="L356" i="1"/>
  <c r="J355" i="1"/>
  <c r="L355" i="1"/>
  <c r="J354" i="1"/>
  <c r="L354" i="1"/>
  <c r="J353" i="1"/>
  <c r="L353" i="1"/>
  <c r="J352" i="1"/>
  <c r="L352" i="1"/>
  <c r="J351" i="1"/>
  <c r="L351" i="1"/>
  <c r="J350" i="1"/>
  <c r="L350" i="1"/>
  <c r="J349" i="1"/>
  <c r="L349" i="1"/>
  <c r="J348" i="1"/>
  <c r="L348" i="1"/>
  <c r="J347" i="1"/>
  <c r="L347" i="1"/>
  <c r="J346" i="1"/>
  <c r="L346" i="1"/>
  <c r="J345" i="1"/>
  <c r="L345" i="1"/>
  <c r="J344" i="1"/>
  <c r="L344" i="1"/>
  <c r="J343" i="1"/>
  <c r="L343" i="1"/>
  <c r="J342" i="1"/>
  <c r="L342" i="1"/>
  <c r="J341" i="1"/>
  <c r="L341" i="1"/>
  <c r="J340" i="1"/>
  <c r="L340" i="1"/>
  <c r="J339" i="1"/>
  <c r="L339" i="1"/>
  <c r="J338" i="1"/>
  <c r="L338" i="1"/>
  <c r="J337" i="1"/>
  <c r="L337" i="1"/>
  <c r="J336" i="1"/>
  <c r="L336" i="1"/>
  <c r="J335" i="1"/>
  <c r="L335" i="1"/>
  <c r="J334" i="1"/>
  <c r="L334" i="1"/>
  <c r="J333" i="1"/>
  <c r="L333" i="1"/>
  <c r="J332" i="1"/>
  <c r="L332" i="1"/>
  <c r="J331" i="1"/>
  <c r="L331" i="1"/>
  <c r="J330" i="1"/>
  <c r="L330" i="1"/>
  <c r="J329" i="1"/>
  <c r="L329" i="1"/>
  <c r="J328" i="1"/>
  <c r="L328" i="1"/>
  <c r="J327" i="1"/>
  <c r="L327" i="1"/>
  <c r="J326" i="1"/>
  <c r="L326" i="1"/>
  <c r="J325" i="1"/>
  <c r="L325" i="1"/>
  <c r="J324" i="1"/>
  <c r="L324" i="1"/>
  <c r="J323" i="1"/>
  <c r="L323" i="1"/>
  <c r="J322" i="1"/>
  <c r="L322" i="1"/>
  <c r="J321" i="1"/>
  <c r="L321" i="1"/>
  <c r="J320" i="1"/>
  <c r="L320" i="1"/>
  <c r="J319" i="1"/>
  <c r="L319" i="1"/>
  <c r="J318" i="1"/>
  <c r="L318" i="1"/>
  <c r="J317" i="1"/>
  <c r="L317" i="1"/>
  <c r="J316" i="1"/>
  <c r="L316" i="1"/>
  <c r="J315" i="1"/>
  <c r="L315" i="1"/>
  <c r="J314" i="1"/>
  <c r="L314" i="1"/>
  <c r="J313" i="1"/>
  <c r="L313" i="1"/>
  <c r="J312" i="1"/>
  <c r="L312" i="1"/>
  <c r="J311" i="1"/>
  <c r="L311" i="1"/>
  <c r="J310" i="1"/>
  <c r="L310" i="1"/>
  <c r="J309" i="1"/>
  <c r="L309" i="1"/>
  <c r="J308" i="1"/>
  <c r="L308" i="1"/>
  <c r="J307" i="1"/>
  <c r="L307" i="1"/>
  <c r="J306" i="1"/>
  <c r="L306" i="1"/>
  <c r="J305" i="1"/>
  <c r="L305" i="1"/>
  <c r="J304" i="1"/>
  <c r="L304" i="1"/>
  <c r="J303" i="1"/>
  <c r="L303" i="1"/>
  <c r="J302" i="1"/>
  <c r="L302" i="1"/>
  <c r="J301" i="1"/>
  <c r="L301" i="1"/>
  <c r="J300" i="1"/>
  <c r="L300" i="1"/>
  <c r="J299" i="1"/>
  <c r="L299" i="1"/>
  <c r="J298" i="1"/>
  <c r="L298" i="1"/>
  <c r="J297" i="1"/>
  <c r="L297" i="1"/>
  <c r="J296" i="1"/>
  <c r="L296" i="1"/>
  <c r="J295" i="1"/>
  <c r="L295" i="1"/>
  <c r="J294" i="1"/>
  <c r="L294" i="1"/>
  <c r="J293" i="1"/>
  <c r="L293" i="1"/>
  <c r="J292" i="1"/>
  <c r="L292" i="1"/>
  <c r="J291" i="1"/>
  <c r="L291" i="1"/>
  <c r="J290" i="1"/>
  <c r="L290" i="1"/>
  <c r="J289" i="1"/>
  <c r="L289" i="1"/>
  <c r="J288" i="1"/>
  <c r="L288" i="1"/>
  <c r="J287" i="1"/>
  <c r="L287" i="1"/>
  <c r="J286" i="1"/>
  <c r="L286" i="1"/>
  <c r="J285" i="1"/>
  <c r="L285" i="1"/>
  <c r="J284" i="1"/>
  <c r="L284" i="1"/>
  <c r="J283" i="1"/>
  <c r="L283" i="1"/>
  <c r="J282" i="1"/>
  <c r="L282" i="1"/>
  <c r="J281" i="1"/>
  <c r="L281" i="1"/>
  <c r="J280" i="1"/>
  <c r="L280" i="1"/>
  <c r="J279" i="1"/>
  <c r="L279" i="1"/>
  <c r="J278" i="1"/>
  <c r="L278" i="1"/>
  <c r="J277" i="1"/>
  <c r="L277" i="1"/>
  <c r="J276" i="1"/>
  <c r="L276" i="1"/>
  <c r="J275" i="1"/>
  <c r="L275" i="1"/>
  <c r="J274" i="1"/>
  <c r="L274" i="1"/>
  <c r="J273" i="1"/>
  <c r="L273" i="1"/>
  <c r="J272" i="1"/>
  <c r="L272" i="1"/>
  <c r="J271" i="1"/>
  <c r="L271" i="1"/>
  <c r="J270" i="1"/>
  <c r="L270" i="1"/>
  <c r="J269" i="1"/>
  <c r="L269" i="1"/>
  <c r="J268" i="1"/>
  <c r="L268" i="1"/>
  <c r="J267" i="1"/>
  <c r="L267" i="1"/>
  <c r="J266" i="1"/>
  <c r="L266" i="1"/>
  <c r="J265" i="1"/>
  <c r="L265" i="1"/>
  <c r="J264" i="1"/>
  <c r="L264" i="1"/>
  <c r="J263" i="1"/>
  <c r="L263" i="1"/>
  <c r="J262" i="1"/>
  <c r="L262" i="1"/>
  <c r="J261" i="1"/>
  <c r="L261" i="1"/>
  <c r="J260" i="1"/>
  <c r="L260" i="1"/>
  <c r="J259" i="1"/>
  <c r="L259" i="1"/>
  <c r="J258" i="1"/>
  <c r="L258" i="1"/>
  <c r="J257" i="1"/>
  <c r="L257" i="1"/>
  <c r="J256" i="1"/>
  <c r="L256" i="1"/>
  <c r="J255" i="1"/>
  <c r="L255" i="1"/>
  <c r="J254" i="1"/>
  <c r="L254" i="1"/>
  <c r="J253" i="1"/>
  <c r="L253" i="1"/>
  <c r="J252" i="1"/>
  <c r="L252" i="1"/>
  <c r="J251" i="1"/>
  <c r="L251" i="1"/>
  <c r="J250" i="1"/>
  <c r="L250" i="1"/>
  <c r="J249" i="1"/>
  <c r="L249" i="1"/>
  <c r="J248" i="1"/>
  <c r="L248" i="1"/>
  <c r="J247" i="1"/>
  <c r="L247" i="1"/>
  <c r="J246" i="1"/>
  <c r="L246" i="1"/>
  <c r="J245" i="1"/>
  <c r="L245" i="1"/>
  <c r="J244" i="1"/>
  <c r="L244" i="1"/>
  <c r="J243" i="1"/>
  <c r="L243" i="1"/>
  <c r="J242" i="1"/>
  <c r="L242" i="1"/>
  <c r="J241" i="1"/>
  <c r="L241" i="1"/>
  <c r="J240" i="1"/>
  <c r="L240" i="1"/>
  <c r="J239" i="1"/>
  <c r="L239" i="1"/>
  <c r="J238" i="1"/>
  <c r="L238" i="1"/>
  <c r="J237" i="1"/>
  <c r="L237" i="1"/>
  <c r="J236" i="1"/>
  <c r="L236" i="1"/>
  <c r="J235" i="1"/>
  <c r="L235" i="1"/>
  <c r="J234" i="1"/>
  <c r="L234" i="1"/>
  <c r="J233" i="1"/>
  <c r="L233" i="1"/>
  <c r="J232" i="1"/>
  <c r="L232" i="1"/>
  <c r="J231" i="1"/>
  <c r="L231" i="1"/>
  <c r="J230" i="1"/>
  <c r="L230" i="1"/>
  <c r="J229" i="1"/>
  <c r="L229" i="1"/>
  <c r="J228" i="1"/>
  <c r="L228" i="1"/>
  <c r="J227" i="1"/>
  <c r="L227" i="1"/>
  <c r="J226" i="1"/>
  <c r="L226" i="1"/>
  <c r="J225" i="1"/>
  <c r="L225" i="1"/>
  <c r="J224" i="1"/>
  <c r="L224" i="1"/>
  <c r="J223" i="1"/>
  <c r="L223" i="1"/>
  <c r="J222" i="1"/>
  <c r="L222" i="1"/>
  <c r="J221" i="1"/>
  <c r="L221" i="1"/>
  <c r="J220" i="1"/>
  <c r="L220" i="1"/>
  <c r="J219" i="1"/>
  <c r="L219" i="1"/>
  <c r="J218" i="1"/>
  <c r="L218" i="1"/>
  <c r="J217" i="1"/>
  <c r="L217" i="1"/>
  <c r="J216" i="1"/>
  <c r="L216" i="1"/>
  <c r="J215" i="1"/>
  <c r="L215" i="1"/>
  <c r="J214" i="1"/>
  <c r="L214" i="1"/>
  <c r="J213" i="1"/>
  <c r="L213" i="1"/>
  <c r="J212" i="1"/>
  <c r="L212" i="1"/>
  <c r="J211" i="1"/>
  <c r="L211" i="1"/>
  <c r="J210" i="1"/>
  <c r="L210" i="1"/>
  <c r="J209" i="1"/>
  <c r="L209" i="1"/>
  <c r="J208" i="1"/>
  <c r="L208" i="1"/>
  <c r="J207" i="1"/>
  <c r="L207" i="1"/>
  <c r="J206" i="1"/>
  <c r="L206" i="1"/>
  <c r="J205" i="1"/>
  <c r="L205" i="1"/>
  <c r="J204" i="1"/>
  <c r="L204" i="1"/>
  <c r="J203" i="1"/>
  <c r="L203" i="1"/>
  <c r="J202" i="1"/>
  <c r="L202" i="1"/>
  <c r="J201" i="1"/>
  <c r="L201" i="1"/>
  <c r="J200" i="1"/>
  <c r="L200" i="1"/>
  <c r="J199" i="1"/>
  <c r="L199" i="1"/>
  <c r="J198" i="1"/>
  <c r="L198" i="1"/>
  <c r="J197" i="1"/>
  <c r="L197" i="1"/>
  <c r="J196" i="1"/>
  <c r="L196" i="1"/>
  <c r="J195" i="1"/>
  <c r="L195" i="1"/>
  <c r="J194" i="1"/>
  <c r="L194" i="1"/>
  <c r="J193" i="1"/>
  <c r="L193" i="1"/>
  <c r="J192" i="1"/>
  <c r="L192" i="1"/>
  <c r="J191" i="1"/>
  <c r="L191" i="1"/>
  <c r="J190" i="1"/>
  <c r="L190" i="1"/>
  <c r="J189" i="1"/>
  <c r="L189" i="1"/>
  <c r="J188" i="1"/>
  <c r="L188" i="1"/>
  <c r="J187" i="1"/>
  <c r="L187" i="1"/>
  <c r="J186" i="1"/>
  <c r="L186" i="1"/>
  <c r="J185" i="1"/>
  <c r="L185" i="1"/>
  <c r="J184" i="1"/>
  <c r="L184" i="1"/>
  <c r="J183" i="1"/>
  <c r="L183" i="1"/>
  <c r="J182" i="1"/>
  <c r="L182" i="1"/>
  <c r="J181" i="1"/>
  <c r="L181" i="1"/>
  <c r="J180" i="1"/>
  <c r="L180" i="1"/>
  <c r="J179" i="1"/>
  <c r="L179" i="1"/>
  <c r="J178" i="1"/>
  <c r="L178" i="1"/>
  <c r="J177" i="1"/>
  <c r="L177" i="1"/>
  <c r="J176" i="1"/>
  <c r="L176" i="1"/>
  <c r="J175" i="1"/>
  <c r="L175" i="1"/>
  <c r="J174" i="1"/>
  <c r="L174" i="1"/>
  <c r="J173" i="1"/>
  <c r="L173" i="1"/>
  <c r="J172" i="1"/>
  <c r="L172" i="1"/>
  <c r="J171" i="1"/>
  <c r="L171" i="1"/>
  <c r="J170" i="1"/>
  <c r="L170" i="1"/>
  <c r="J169" i="1"/>
  <c r="L169" i="1"/>
  <c r="J168" i="1"/>
  <c r="L168" i="1"/>
  <c r="J167" i="1"/>
  <c r="L167" i="1"/>
  <c r="J166" i="1"/>
  <c r="L166" i="1"/>
  <c r="J165" i="1"/>
  <c r="L165" i="1"/>
  <c r="J164" i="1"/>
  <c r="L164" i="1"/>
  <c r="J163" i="1"/>
  <c r="L163" i="1"/>
  <c r="J162" i="1"/>
  <c r="L162" i="1"/>
  <c r="J161" i="1"/>
  <c r="L161" i="1"/>
  <c r="J160" i="1"/>
  <c r="L160" i="1"/>
  <c r="J159" i="1"/>
  <c r="L159" i="1"/>
  <c r="J158" i="1"/>
  <c r="L158" i="1"/>
  <c r="J157" i="1"/>
  <c r="L157" i="1"/>
  <c r="J156" i="1"/>
  <c r="L156" i="1"/>
  <c r="J155" i="1"/>
  <c r="L155" i="1"/>
  <c r="J154" i="1"/>
  <c r="L154" i="1"/>
  <c r="J153" i="1"/>
  <c r="L153" i="1"/>
  <c r="J152" i="1"/>
  <c r="L152" i="1"/>
  <c r="J151" i="1"/>
  <c r="L151" i="1"/>
  <c r="J150" i="1"/>
  <c r="L150" i="1"/>
  <c r="J149" i="1"/>
  <c r="L149" i="1"/>
  <c r="J148" i="1"/>
  <c r="L148" i="1"/>
  <c r="J147" i="1"/>
  <c r="L147" i="1"/>
  <c r="J146" i="1"/>
  <c r="L146" i="1"/>
  <c r="J145" i="1"/>
  <c r="L145" i="1"/>
  <c r="J144" i="1"/>
  <c r="L144" i="1"/>
  <c r="J143" i="1"/>
  <c r="L143" i="1"/>
  <c r="J142" i="1"/>
  <c r="L142" i="1"/>
  <c r="J141" i="1"/>
  <c r="L141" i="1"/>
  <c r="J140" i="1"/>
  <c r="L140" i="1"/>
  <c r="J139" i="1"/>
  <c r="L139" i="1"/>
  <c r="J138" i="1"/>
  <c r="L138" i="1"/>
  <c r="J137" i="1"/>
  <c r="L137" i="1"/>
  <c r="J136" i="1"/>
  <c r="L136" i="1"/>
  <c r="J135" i="1"/>
  <c r="L135" i="1"/>
  <c r="J134" i="1"/>
  <c r="L134" i="1"/>
  <c r="J133" i="1"/>
  <c r="L133" i="1"/>
  <c r="J132" i="1"/>
  <c r="L132" i="1"/>
  <c r="J131" i="1"/>
  <c r="L131" i="1"/>
  <c r="J130" i="1"/>
  <c r="L130" i="1"/>
  <c r="J129" i="1"/>
  <c r="L129" i="1"/>
  <c r="J128" i="1"/>
  <c r="L128" i="1"/>
  <c r="J127" i="1"/>
  <c r="L127" i="1"/>
  <c r="J126" i="1"/>
  <c r="L126" i="1"/>
  <c r="J125" i="1"/>
  <c r="L125" i="1"/>
  <c r="J124" i="1"/>
  <c r="L124" i="1"/>
  <c r="J123" i="1"/>
  <c r="L123" i="1"/>
  <c r="J122" i="1"/>
  <c r="L122" i="1"/>
  <c r="J121" i="1"/>
  <c r="L121" i="1"/>
  <c r="J120" i="1"/>
  <c r="L120" i="1"/>
  <c r="J119" i="1"/>
  <c r="L119" i="1"/>
  <c r="J118" i="1"/>
  <c r="L118" i="1"/>
  <c r="J117" i="1"/>
  <c r="L117" i="1"/>
  <c r="J116" i="1"/>
  <c r="L116" i="1"/>
  <c r="J115" i="1"/>
  <c r="L115" i="1"/>
  <c r="J114" i="1"/>
  <c r="L114" i="1"/>
  <c r="J113" i="1"/>
  <c r="L113" i="1"/>
  <c r="J112" i="1"/>
  <c r="L112" i="1"/>
  <c r="J111" i="1"/>
  <c r="L111" i="1"/>
  <c r="J110" i="1"/>
  <c r="L110" i="1"/>
  <c r="J109" i="1"/>
  <c r="L109" i="1"/>
  <c r="J108" i="1"/>
  <c r="L108" i="1"/>
  <c r="J107" i="1"/>
  <c r="L107" i="1"/>
  <c r="J106" i="1"/>
  <c r="L106" i="1"/>
  <c r="J105" i="1"/>
  <c r="L105" i="1"/>
  <c r="J104" i="1"/>
  <c r="L104" i="1"/>
  <c r="J103" i="1"/>
  <c r="L103" i="1"/>
  <c r="J102" i="1"/>
  <c r="L102" i="1"/>
  <c r="D10" i="2"/>
  <c r="L101" i="1"/>
  <c r="J100" i="1"/>
  <c r="L100" i="1"/>
  <c r="J99" i="1"/>
  <c r="L99" i="1"/>
  <c r="J98" i="1"/>
  <c r="L98" i="1"/>
  <c r="J97" i="1"/>
  <c r="L97" i="1"/>
  <c r="J96" i="1"/>
  <c r="L96" i="1"/>
  <c r="J95" i="1"/>
  <c r="L95" i="1"/>
  <c r="J94" i="1"/>
  <c r="L94" i="1"/>
  <c r="J93" i="1"/>
  <c r="L93" i="1"/>
  <c r="J92" i="1"/>
  <c r="L92" i="1"/>
  <c r="J91" i="1"/>
  <c r="L91" i="1"/>
  <c r="D9" i="2"/>
  <c r="L90" i="1"/>
  <c r="J89" i="1"/>
  <c r="L89" i="1"/>
  <c r="J88" i="1"/>
  <c r="L88" i="1"/>
  <c r="J87" i="1"/>
  <c r="L87" i="1"/>
  <c r="J86" i="1"/>
  <c r="L86" i="1"/>
  <c r="J85" i="1"/>
  <c r="L85" i="1"/>
  <c r="J84" i="1"/>
  <c r="L84" i="1"/>
  <c r="J83" i="1"/>
  <c r="L83" i="1"/>
  <c r="J82" i="1"/>
  <c r="L82" i="1"/>
  <c r="J81" i="1"/>
  <c r="L81" i="1"/>
  <c r="J80" i="1"/>
  <c r="L80" i="1"/>
  <c r="J79" i="1"/>
  <c r="L79" i="1"/>
  <c r="J78" i="1"/>
  <c r="L78" i="1"/>
  <c r="J77" i="1"/>
  <c r="L77" i="1"/>
  <c r="J76" i="1"/>
  <c r="L76" i="1"/>
  <c r="J75" i="1"/>
  <c r="L75" i="1"/>
  <c r="J74" i="1"/>
  <c r="L74" i="1"/>
  <c r="J73" i="1"/>
  <c r="L73" i="1"/>
  <c r="J72" i="1"/>
  <c r="L72" i="1"/>
  <c r="J71" i="1"/>
  <c r="L71" i="1"/>
  <c r="J70" i="1"/>
  <c r="L70" i="1"/>
  <c r="J69" i="1"/>
  <c r="L69" i="1"/>
  <c r="D8" i="2"/>
  <c r="L68" i="1"/>
  <c r="J67" i="1"/>
  <c r="L67" i="1"/>
  <c r="J66" i="1"/>
  <c r="L66" i="1"/>
  <c r="J65" i="1"/>
  <c r="L65" i="1"/>
  <c r="J64" i="1"/>
  <c r="L64" i="1"/>
  <c r="J63" i="1"/>
  <c r="L63" i="1"/>
  <c r="J62" i="1"/>
  <c r="L62" i="1"/>
  <c r="J61" i="1"/>
  <c r="L61" i="1"/>
  <c r="J60" i="1"/>
  <c r="L60" i="1"/>
  <c r="J59" i="1"/>
  <c r="L59" i="1"/>
  <c r="J58" i="1"/>
  <c r="L58" i="1"/>
  <c r="J57" i="1"/>
  <c r="L57" i="1"/>
  <c r="D7" i="2"/>
  <c r="L56" i="1"/>
  <c r="D6" i="2"/>
  <c r="L55" i="1"/>
  <c r="J54" i="1"/>
  <c r="L54" i="1"/>
  <c r="J53" i="1"/>
  <c r="L53" i="1"/>
  <c r="J52" i="1"/>
  <c r="L52" i="1"/>
  <c r="J51" i="1"/>
  <c r="L51" i="1"/>
  <c r="J50" i="1"/>
  <c r="L50" i="1"/>
  <c r="J49" i="1"/>
  <c r="L49" i="1"/>
  <c r="J48" i="1"/>
  <c r="L48" i="1"/>
  <c r="J47" i="1"/>
  <c r="L47" i="1"/>
  <c r="J46" i="1"/>
  <c r="L46" i="1"/>
  <c r="J45" i="1"/>
  <c r="L45" i="1"/>
  <c r="J44" i="1"/>
  <c r="L44" i="1"/>
  <c r="J43" i="1"/>
  <c r="L43" i="1"/>
  <c r="J42" i="1"/>
  <c r="L42" i="1"/>
  <c r="J41" i="1"/>
  <c r="L41" i="1"/>
  <c r="J40" i="1"/>
  <c r="L40" i="1"/>
  <c r="J39" i="1"/>
  <c r="L39" i="1"/>
  <c r="J38" i="1"/>
  <c r="L38" i="1"/>
  <c r="J37" i="1"/>
  <c r="L37" i="1"/>
  <c r="J36" i="1"/>
  <c r="L36" i="1"/>
  <c r="J35" i="1"/>
  <c r="L35" i="1"/>
  <c r="J34" i="1"/>
  <c r="L34" i="1"/>
  <c r="J33" i="1"/>
  <c r="L33" i="1"/>
  <c r="J32" i="1"/>
  <c r="L32" i="1"/>
  <c r="D5" i="2"/>
  <c r="L31" i="1"/>
  <c r="J30" i="1"/>
  <c r="L30" i="1"/>
  <c r="J29" i="1"/>
  <c r="L29" i="1"/>
  <c r="J28" i="1"/>
  <c r="L28" i="1"/>
  <c r="J27" i="1"/>
  <c r="L27" i="1"/>
  <c r="J25" i="1"/>
  <c r="L25" i="1"/>
  <c r="J24" i="1"/>
  <c r="L24" i="1"/>
  <c r="J23" i="1"/>
  <c r="L23" i="1"/>
  <c r="J22" i="1"/>
  <c r="L22" i="1"/>
  <c r="J21" i="1"/>
  <c r="L21" i="1"/>
  <c r="J20" i="1"/>
  <c r="L20" i="1"/>
  <c r="J19" i="1"/>
  <c r="L19" i="1"/>
  <c r="J18" i="1"/>
  <c r="L18" i="1"/>
  <c r="J17" i="1"/>
  <c r="L17" i="1"/>
  <c r="D3" i="2"/>
  <c r="L16" i="1"/>
  <c r="J15" i="1"/>
  <c r="L15" i="1"/>
  <c r="J14" i="1"/>
  <c r="L14" i="1"/>
  <c r="J13" i="1"/>
  <c r="L13" i="1"/>
  <c r="J12" i="1"/>
  <c r="L12" i="1"/>
  <c r="D2" i="2"/>
  <c r="L11" i="1"/>
  <c r="J10" i="1"/>
  <c r="L10" i="1"/>
  <c r="J9" i="1"/>
  <c r="L9" i="1"/>
  <c r="J8" i="1"/>
  <c r="L8" i="1"/>
  <c r="J7" i="1"/>
  <c r="L7" i="1"/>
  <c r="J6" i="1"/>
  <c r="L6" i="1"/>
  <c r="J5" i="1"/>
  <c r="L5" i="1"/>
  <c r="J4" i="1"/>
  <c r="L4" i="1"/>
  <c r="J3" i="1"/>
  <c r="L3" i="1"/>
  <c r="N19" i="1"/>
  <c r="R20" i="1"/>
  <c r="R21" i="1"/>
  <c r="Q20" i="1"/>
  <c r="Q21" i="1"/>
  <c r="P20" i="1"/>
  <c r="P21" i="1"/>
  <c r="O20" i="1"/>
  <c r="O21" i="1"/>
  <c r="O19" i="1"/>
  <c r="J2" i="1"/>
  <c r="O18" i="1"/>
  <c r="B4" i="2"/>
  <c r="D4" i="2"/>
  <c r="B2" i="2"/>
  <c r="J101" i="1"/>
  <c r="B10" i="2"/>
  <c r="J90" i="1"/>
  <c r="B9" i="2"/>
  <c r="J68" i="1"/>
  <c r="B8" i="2"/>
  <c r="J56" i="1"/>
  <c r="B7" i="2"/>
  <c r="J55" i="1"/>
  <c r="B6" i="2"/>
  <c r="J31" i="1"/>
  <c r="B5" i="2"/>
  <c r="J16" i="1"/>
  <c r="B3" i="2"/>
  <c r="J26" i="1"/>
  <c r="J489" i="1"/>
  <c r="J11" i="1"/>
  <c r="P11" i="1" l="1"/>
  <c r="AI1021" i="1"/>
  <c r="AH1021" i="1"/>
  <c r="AG1021" i="1"/>
  <c r="Z1021" i="1"/>
  <c r="Y1021" i="1"/>
  <c r="X1021" i="1"/>
  <c r="AG1019" i="1"/>
  <c r="AM1018" i="1"/>
  <c r="AD1018" i="1"/>
  <c r="AJ1018" i="1"/>
  <c r="AA1018" i="1"/>
  <c r="AB1006" i="1"/>
  <c r="X1019" i="1"/>
  <c r="AM1020" i="1" a="1"/>
  <c r="AM1020" i="1" s="1"/>
  <c r="AJ1020" i="1" a="1"/>
  <c r="AJ1020" i="1" s="1"/>
  <c r="AG1020" i="1" a="1"/>
  <c r="AG1020" i="1" s="1"/>
  <c r="AD1020" i="1" a="1"/>
  <c r="AD1020" i="1" s="1"/>
  <c r="AA1020" i="1" a="1"/>
  <c r="AA1020" i="1" s="1"/>
  <c r="X1020" i="1" a="1"/>
  <c r="X1020" i="1" s="1"/>
  <c r="R19" i="1"/>
  <c r="Q19" i="1"/>
  <c r="P19" i="1"/>
  <c r="P10" i="1"/>
  <c r="AG1018" i="1" l="1"/>
  <c r="X10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<sst xmlns="http://schemas.openxmlformats.org/spreadsheetml/2006/main" count="3074" uniqueCount="1061">
  <si>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</si>
  <si>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</si>
  <si>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</si>
  <si>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</si>
  <si>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</si>
  <si>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</si>
  <si>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</si>
  <si>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</si>
  <si>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</si>
  <si>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Commision 2023</t>
  </si>
  <si>
    <t>Generation</t>
  </si>
  <si>
    <t>Concatenate</t>
  </si>
  <si>
    <t>CUST001</t>
  </si>
  <si>
    <t>Male</t>
  </si>
  <si>
    <t>Beauty</t>
  </si>
  <si>
    <t>rate %</t>
  </si>
  <si>
    <t>CUST002</t>
  </si>
  <si>
    <t>Female</t>
  </si>
  <si>
    <t>Clothing</t>
  </si>
  <si>
    <t>CUST003</t>
  </si>
  <si>
    <t>Electronics</t>
  </si>
  <si>
    <t>Commision 2024</t>
  </si>
  <si>
    <t>CUST004</t>
  </si>
  <si>
    <t>CUST005</t>
  </si>
  <si>
    <t>CUST006</t>
  </si>
  <si>
    <t>CUST007</t>
  </si>
  <si>
    <t>CUST008</t>
  </si>
  <si>
    <t>CUST009</t>
  </si>
  <si>
    <t>Comission Total</t>
  </si>
  <si>
    <t>CUST010</t>
  </si>
  <si>
    <t>Average Commision</t>
  </si>
  <si>
    <t>CUST011</t>
  </si>
  <si>
    <t>CUST012</t>
  </si>
  <si>
    <t>CUST013</t>
  </si>
  <si>
    <t>CUST014</t>
  </si>
  <si>
    <t>CUST015</t>
  </si>
  <si>
    <t>CUST016</t>
  </si>
  <si>
    <t>Total</t>
  </si>
  <si>
    <t>Average Sales</t>
  </si>
  <si>
    <t>Transactions</t>
  </si>
  <si>
    <t>Product Categories</t>
  </si>
  <si>
    <t>CUST017</t>
  </si>
  <si>
    <t>All products</t>
  </si>
  <si>
    <t>COUNT</t>
  </si>
  <si>
    <t>CUST018</t>
  </si>
  <si>
    <t>COUNTA</t>
  </si>
  <si>
    <t>CUST019</t>
  </si>
  <si>
    <t>COUNTBLANK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</si>
  <si>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</si>
  <si>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</si>
  <si>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</si>
  <si>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</si>
  <si>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</si>
  <si>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</si>
  <si>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</si>
  <si>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</si>
  <si>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</si>
  <si>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</si>
  <si>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</si>
  <si>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</si>
  <si>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</si>
  <si>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</si>
  <si>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</si>
  <si>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</si>
  <si>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</si>
  <si>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</si>
  <si>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</si>
  <si>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</si>
  <si>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</si>
  <si>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</si>
  <si>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</si>
  <si>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</si>
  <si>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</si>
  <si>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</si>
  <si>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</si>
  <si>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</si>
  <si>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</si>
  <si>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</si>
  <si>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</si>
  <si>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</si>
  <si>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</si>
  <si>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</si>
  <si>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</si>
  <si>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</si>
  <si>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</si>
  <si>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</si>
  <si>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</si>
  <si>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</si>
  <si>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</si>
  <si>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</si>
  <si>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</si>
  <si>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</si>
  <si>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</si>
  <si>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</si>
  <si>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</si>
  <si>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</si>
  <si>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</si>
  <si>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</si>
  <si>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</si>
  <si>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</si>
  <si>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</si>
  <si>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</si>
  <si>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</si>
  <si>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</si>
  <si>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</si>
  <si>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</si>
  <si>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</si>
  <si>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</si>
  <si>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</si>
  <si>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</si>
  <si>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</si>
  <si>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</si>
  <si>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</si>
  <si>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</si>
  <si>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</si>
  <si>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</si>
  <si>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</si>
  <si>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</si>
  <si>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</si>
  <si>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</si>
  <si>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</si>
  <si>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</si>
  <si>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</si>
  <si>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</si>
  <si>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</si>
  <si>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</si>
  <si>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</si>
  <si>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</si>
  <si>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</si>
  <si>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</si>
  <si>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</si>
  <si>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</si>
  <si>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</si>
  <si>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</si>
  <si>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</si>
  <si>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</si>
  <si>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</si>
  <si>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</si>
  <si>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</si>
  <si>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</si>
  <si>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</si>
  <si>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</si>
  <si>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</si>
  <si>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</si>
  <si>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</si>
  <si>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</si>
  <si>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</si>
  <si>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</si>
  <si>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</si>
  <si>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</si>
  <si>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</si>
  <si>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</si>
  <si>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</si>
  <si>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</si>
  <si>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</si>
  <si>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</si>
  <si>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</si>
  <si>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</si>
  <si>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</si>
  <si>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</si>
  <si>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</si>
  <si>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</si>
  <si>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</si>
  <si>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</si>
  <si>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</si>
  <si>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</si>
  <si>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</si>
  <si>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</si>
  <si>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</si>
  <si>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</si>
  <si>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</si>
  <si>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</si>
  <si>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</si>
  <si>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</si>
  <si>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</si>
  <si>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</si>
  <si>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</si>
  <si>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</si>
  <si>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</si>
  <si>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</si>
  <si>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</si>
  <si>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</si>
  <si>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</si>
  <si>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</si>
  <si>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</si>
  <si>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</si>
  <si>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</si>
  <si>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</si>
  <si>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</si>
  <si>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</si>
  <si>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</si>
  <si>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</si>
  <si>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</si>
  <si>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</si>
  <si>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</si>
  <si>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</si>
  <si>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</si>
  <si>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</si>
  <si>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</si>
  <si>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</si>
  <si>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</si>
  <si>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</si>
  <si>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</si>
  <si>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</si>
  <si>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</si>
  <si>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</si>
  <si>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</si>
  <si>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</si>
  <si>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</si>
  <si>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</si>
  <si>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</si>
  <si>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</si>
  <si>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</si>
  <si>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</si>
  <si>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</si>
  <si>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</si>
  <si>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</si>
  <si>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</si>
  <si>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</si>
  <si>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</si>
  <si>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</si>
  <si>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</si>
  <si>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</si>
  <si>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</si>
  <si>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</si>
  <si>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</si>
  <si>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</si>
  <si>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</si>
  <si>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</si>
  <si>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</si>
  <si>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</si>
  <si>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</si>
  <si>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</si>
  <si>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</si>
  <si>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</si>
  <si>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</si>
  <si>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</si>
  <si>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</si>
  <si>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</si>
  <si>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</si>
  <si>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</si>
  <si>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</si>
  <si>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</si>
  <si>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</si>
  <si>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</si>
  <si>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</si>
  <si>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</si>
  <si>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</si>
  <si>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</si>
  <si>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</si>
  <si>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</si>
  <si>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</si>
  <si>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</si>
  <si>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</si>
  <si>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</si>
  <si>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</si>
  <si>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</si>
  <si>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</si>
  <si>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</si>
  <si>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</si>
  <si>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</si>
  <si>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</si>
  <si>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</si>
  <si>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</si>
  <si>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</si>
  <si>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</si>
  <si>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</si>
  <si>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</si>
  <si>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</si>
  <si>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</si>
  <si>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</si>
  <si>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</si>
  <si>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</si>
  <si>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</si>
  <si>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</si>
  <si>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</si>
  <si>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</si>
  <si>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</si>
  <si>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</si>
  <si>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</si>
  <si>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</si>
  <si>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</si>
  <si>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</si>
  <si>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</si>
  <si>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</si>
  <si>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</si>
  <si>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</si>
  <si>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</si>
  <si>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</si>
  <si>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</si>
  <si>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</si>
  <si>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</si>
  <si>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</si>
  <si>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</si>
  <si>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</si>
  <si>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</si>
  <si>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</si>
  <si>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</si>
  <si>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</si>
  <si>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</si>
  <si>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</si>
  <si>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</si>
  <si>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</si>
  <si>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</si>
  <si>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</si>
  <si>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</si>
  <si>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</si>
  <si>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</si>
  <si>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</si>
  <si>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</si>
  <si>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</si>
  <si>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</si>
  <si>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</si>
  <si>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</si>
  <si>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</si>
  <si>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</si>
  <si>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</si>
  <si>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</si>
  <si>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</si>
  <si>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</si>
  <si>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</si>
  <si>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</si>
  <si>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</si>
  <si>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</si>
  <si>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</si>
  <si>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</si>
  <si>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</si>
  <si>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</si>
  <si>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</si>
  <si>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</si>
  <si>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</si>
  <si>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</si>
  <si>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</si>
  <si>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</si>
  <si>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</si>
  <si>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</si>
  <si>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</si>
  <si>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</si>
  <si>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</si>
  <si>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</si>
  <si>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</si>
  <si>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</si>
  <si>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</si>
  <si>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</si>
  <si>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</si>
  <si>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</si>
  <si>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</si>
  <si>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</si>
  <si>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</si>
  <si>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</si>
  <si>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</si>
  <si>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</si>
  <si>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</si>
  <si>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</si>
  <si>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</si>
  <si>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</si>
  <si>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</si>
  <si>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</si>
  <si>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</si>
  <si>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</si>
  <si>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</si>
  <si>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</si>
  <si>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</si>
  <si>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</si>
  <si>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</si>
  <si>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</si>
  <si>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</si>
  <si>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</si>
  <si>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</si>
  <si>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</si>
  <si>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</si>
  <si>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</si>
  <si>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</si>
  <si>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</si>
  <si>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</si>
  <si>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</si>
  <si>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</si>
  <si>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</si>
  <si>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</si>
  <si>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</si>
  <si>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</si>
  <si>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</si>
  <si>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</si>
  <si>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</si>
  <si>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</si>
  <si>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</si>
  <si>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</si>
  <si>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</si>
  <si>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</si>
  <si>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</si>
  <si>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</si>
  <si>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</si>
  <si>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</si>
  <si>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</si>
  <si>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</si>
  <si>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</si>
  <si>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</si>
  <si>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</si>
  <si>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</si>
  <si>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</si>
  <si>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</si>
  <si>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</si>
  <si>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</si>
  <si>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</si>
  <si>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</si>
  <si>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</si>
  <si>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</si>
  <si>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</si>
  <si>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</si>
  <si>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</si>
  <si>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</si>
  <si>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</si>
  <si>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</si>
  <si>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</si>
  <si>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</si>
  <si>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</si>
  <si>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</si>
  <si>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</si>
  <si>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</si>
  <si>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</si>
  <si>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</si>
  <si>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</si>
  <si>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</si>
  <si>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</si>
  <si>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</si>
  <si>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</si>
  <si>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</si>
  <si>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</si>
  <si>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</si>
  <si>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</si>
  <si>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</si>
  <si>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</si>
  <si>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</si>
  <si>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</si>
  <si>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</si>
  <si>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</si>
  <si>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</si>
  <si>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</si>
  <si>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</si>
  <si>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</si>
  <si>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</si>
  <si>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</si>
  <si>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</si>
  <si>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</si>
  <si>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</si>
  <si>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</si>
  <si>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</si>
  <si>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</si>
  <si>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</si>
  <si>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</si>
  <si>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</si>
  <si>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</si>
  <si>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</si>
  <si>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</si>
  <si>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</si>
  <si>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</si>
  <si>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</si>
  <si>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</si>
  <si>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</si>
  <si>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</si>
  <si>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</si>
  <si>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</si>
  <si>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</si>
  <si>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</si>
  <si>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</si>
  <si>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</si>
  <si>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</si>
  <si>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</si>
  <si>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</si>
  <si>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</si>
  <si>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</si>
  <si>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</si>
  <si>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</si>
  <si>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</si>
  <si>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</si>
  <si>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</si>
  <si>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</si>
  <si>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</si>
  <si>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</si>
  <si>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</si>
  <si>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</si>
  <si>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</si>
  <si>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</si>
  <si>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</si>
  <si>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</si>
  <si>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</si>
  <si>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</si>
  <si>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</si>
  <si>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</si>
  <si>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</si>
  <si>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</si>
  <si>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</si>
  <si>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</si>
  <si>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</si>
  <si>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</si>
  <si>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</si>
  <si>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</si>
  <si>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</si>
  <si>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</si>
  <si>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</si>
  <si>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</si>
  <si>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</si>
  <si>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</si>
  <si>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</si>
  <si>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</si>
  <si>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</si>
  <si>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</si>
  <si>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</si>
  <si>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</si>
  <si>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</si>
  <si>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</si>
  <si>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</si>
  <si>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</si>
  <si>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</si>
  <si>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</si>
  <si>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</si>
  <si>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</si>
  <si>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</si>
  <si>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</si>
  <si>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</si>
  <si>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</si>
  <si>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</si>
  <si>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</si>
  <si>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</si>
  <si>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</si>
  <si>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</si>
  <si>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</si>
  <si>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</si>
  <si>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</si>
  <si>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</si>
  <si>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</si>
  <si>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</si>
  <si>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</si>
  <si>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</si>
  <si>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</si>
  <si>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</si>
  <si>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</si>
  <si>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</si>
  <si>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</si>
  <si>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</si>
  <si>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</si>
  <si>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</si>
  <si>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</si>
  <si>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</si>
  <si>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</si>
  <si>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</si>
  <si>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</si>
  <si>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</si>
  <si>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</si>
  <si>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</si>
  <si>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</si>
  <si>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</si>
  <si>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</si>
  <si>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</si>
  <si>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</si>
  <si>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</si>
  <si>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</si>
  <si>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</si>
  <si>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</si>
  <si>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</si>
  <si>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</si>
  <si>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</si>
  <si>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</si>
  <si>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</si>
  <si>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</si>
  <si>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</si>
  <si>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</si>
  <si>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</si>
  <si>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</si>
  <si>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</si>
  <si>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</si>
  <si>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</si>
  <si>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</si>
  <si>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</si>
  <si>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</si>
  <si>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</si>
  <si>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</si>
  <si>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</si>
  <si>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</si>
  <si>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</si>
  <si>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</si>
  <si>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</si>
  <si>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</si>
  <si>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</si>
  <si>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</si>
  <si>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</si>
  <si>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</si>
  <si>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</si>
  <si>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</si>
  <si>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</si>
  <si>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</si>
  <si>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</si>
  <si>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</si>
  <si>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</si>
  <si>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</si>
  <si>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</si>
  <si>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</si>
  <si>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</si>
  <si>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</si>
  <si>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</si>
  <si>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</si>
  <si>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</si>
  <si>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</si>
  <si>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</si>
  <si>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</si>
  <si>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</si>
  <si>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</si>
  <si>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</si>
  <si>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</si>
  <si>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</si>
  <si>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</si>
  <si>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</si>
  <si>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</si>
  <si>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</si>
  <si>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</si>
  <si>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</si>
  <si>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</si>
  <si>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</si>
  <si>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</si>
  <si>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</si>
  <si>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</si>
  <si>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</si>
  <si>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</si>
  <si>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</si>
  <si>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</si>
  <si>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</si>
  <si>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</si>
  <si>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</si>
  <si>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</si>
  <si>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</si>
  <si>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</si>
  <si>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</si>
  <si>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</si>
  <si>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</si>
  <si>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</si>
  <si>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</si>
  <si>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</si>
  <si>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</si>
  <si>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</si>
  <si>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</si>
  <si>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</si>
  <si>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</si>
  <si>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</si>
  <si>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</si>
  <si>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</si>
  <si>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</si>
  <si>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</si>
  <si>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</si>
  <si>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</si>
  <si>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</si>
  <si>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</si>
  <si>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</si>
  <si>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</si>
  <si>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</si>
  <si>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</si>
  <si>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</si>
  <si>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</si>
  <si>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</si>
  <si>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</si>
  <si>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</si>
  <si>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</si>
  <si>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</si>
  <si>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</si>
  <si>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</si>
  <si>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</si>
  <si>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</si>
  <si>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</si>
  <si>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</si>
  <si>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</si>
  <si>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</si>
  <si>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</si>
  <si>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</si>
  <si>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</si>
  <si>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</si>
  <si>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</si>
  <si>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</si>
  <si>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</si>
  <si>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</si>
  <si>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</si>
  <si>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</si>
  <si>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</si>
  <si>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</si>
  <si>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</si>
  <si>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</si>
  <si>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</si>
  <si>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</si>
  <si>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</si>
  <si>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</si>
  <si>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</si>
  <si>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</si>
  <si>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</si>
  <si>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</si>
  <si>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</si>
  <si>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</si>
  <si>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</si>
  <si>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</si>
  <si>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</si>
  <si>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</si>
  <si>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</si>
  <si>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</si>
  <si>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</si>
  <si>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</si>
  <si>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</si>
  <si>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</si>
  <si>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</si>
  <si>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</si>
  <si>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</si>
  <si>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</si>
  <si>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</si>
  <si>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</si>
  <si>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</si>
  <si>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</si>
  <si>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</si>
  <si>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</si>
  <si>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</si>
  <si>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</si>
  <si>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</si>
  <si>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</si>
  <si>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</si>
  <si>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</si>
  <si>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</si>
  <si>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</si>
  <si>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</si>
  <si>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</si>
  <si>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</si>
  <si>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</si>
  <si>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</si>
  <si>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</si>
  <si>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</si>
  <si>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</si>
  <si>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</si>
  <si>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</si>
  <si>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</si>
  <si>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</si>
  <si>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</si>
  <si>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</si>
  <si>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</si>
  <si>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</si>
  <si>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</si>
  <si>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</si>
  <si>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</si>
  <si>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</si>
  <si>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</si>
  <si>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</si>
  <si>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</si>
  <si>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</si>
  <si>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</si>
  <si>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</si>
  <si>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</si>
  <si>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</si>
  <si>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</si>
  <si>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</si>
  <si>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</si>
  <si>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</si>
  <si>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</si>
  <si>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</si>
  <si>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</si>
  <si>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</si>
  <si>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</si>
  <si>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</si>
  <si>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</si>
  <si>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</si>
  <si>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</si>
  <si>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</si>
  <si>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</si>
  <si>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</si>
  <si>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</si>
  <si>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</si>
  <si>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</si>
  <si>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</si>
  <si>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</si>
  <si>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</si>
  <si>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</si>
  <si>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</si>
  <si>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</si>
  <si>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</si>
  <si>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</si>
  <si>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</si>
  <si>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</si>
  <si>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</si>
  <si>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</si>
  <si>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</si>
  <si>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</si>
  <si>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</si>
  <si>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</si>
  <si>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</si>
  <si>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</si>
  <si>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</si>
  <si>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</si>
  <si>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</si>
  <si>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</si>
  <si>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</si>
  <si>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</si>
  <si>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</si>
  <si>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</si>
  <si>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</si>
  <si>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</si>
  <si>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</si>
  <si>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</si>
  <si>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</si>
  <si>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</si>
  <si>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</si>
  <si>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</si>
  <si>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</si>
  <si>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</si>
  <si>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</si>
  <si>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</si>
  <si>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</si>
  <si>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</si>
  <si>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</si>
  <si>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</si>
  <si>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</si>
  <si>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</si>
  <si>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</si>
  <si>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</si>
  <si>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</si>
  <si>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</si>
  <si>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</si>
  <si>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</si>
  <si>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</si>
  <si>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</si>
  <si>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</si>
  <si>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</si>
  <si>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</si>
  <si>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</si>
  <si>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</si>
  <si>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</si>
  <si>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</si>
  <si>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</si>
  <si>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</si>
  <si>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</si>
  <si>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</si>
  <si>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</si>
  <si>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</si>
  <si>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</si>
  <si>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</si>
  <si>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</si>
  <si>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</si>
  <si>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</si>
  <si>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</si>
  <si>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</si>
  <si>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</si>
  <si>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</si>
  <si>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</si>
  <si>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</si>
  <si>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</si>
  <si>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</si>
  <si>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</si>
  <si>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</si>
  <si>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</si>
  <si>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</si>
  <si>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</si>
  <si>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</si>
  <si>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</si>
  <si>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</si>
  <si>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</si>
  <si>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</si>
  <si>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</si>
  <si>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</si>
  <si>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</si>
  <si>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</si>
  <si>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</si>
  <si>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</si>
  <si>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</si>
  <si>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</si>
  <si>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</si>
  <si>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</si>
  <si>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</si>
  <si>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</si>
  <si>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</si>
  <si>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</si>
  <si>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</si>
  <si>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</si>
  <si>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</si>
  <si>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</si>
  <si>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</si>
  <si>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</si>
  <si>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</si>
  <si>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</si>
  <si>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</si>
  <si>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</si>
  <si>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</si>
  <si>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</si>
  <si>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</si>
  <si>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</si>
  <si>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</si>
  <si>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</si>
  <si>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</si>
  <si>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</si>
  <si>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</si>
  <si>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</si>
  <si>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</si>
  <si>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</si>
  <si>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</si>
  <si>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</si>
  <si>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</si>
  <si>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</si>
  <si>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</si>
  <si>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</si>
  <si>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</si>
  <si>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</si>
  <si>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</si>
  <si>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</si>
  <si>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</si>
  <si>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</si>
  <si>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</si>
  <si>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</si>
  <si>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</si>
  <si>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</si>
  <si>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</si>
  <si>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</si>
  <si>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</si>
  <si>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</si>
  <si>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</si>
  <si>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</si>
  <si>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</si>
  <si>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</si>
  <si>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</si>
  <si>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</si>
  <si>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</si>
  <si>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</si>
  <si>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</si>
  <si>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</si>
  <si>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</si>
  <si>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</si>
  <si>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</si>
  <si>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</si>
  <si>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</si>
  <si>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</si>
  <si>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</si>
  <si>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</si>
  <si>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</si>
  <si>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</si>
  <si>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</si>
  <si>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</si>
  <si>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</si>
  <si>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</si>
  <si>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</si>
  <si>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</si>
  <si>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</si>
  <si>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</si>
  <si>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</si>
  <si>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</si>
  <si>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</si>
  <si>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</si>
  <si>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</si>
  <si>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</si>
  <si>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</si>
  <si>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</si>
  <si>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</si>
  <si>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</si>
  <si>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</si>
  <si>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</si>
  <si>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</si>
  <si>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</si>
  <si>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</si>
  <si>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</si>
  <si>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</si>
  <si>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</si>
  <si>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</si>
  <si>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</si>
  <si>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</si>
  <si>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</si>
  <si>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</si>
  <si>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</si>
  <si>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</si>
  <si>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</si>
  <si>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</si>
  <si>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</si>
  <si>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</si>
  <si>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</si>
  <si>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</si>
  <si>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</si>
  <si>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</si>
  <si>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</si>
  <si>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</si>
  <si>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</si>
  <si>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</si>
  <si>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</si>
  <si>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</si>
  <si>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</si>
  <si>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</si>
  <si>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</si>
  <si>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</si>
  <si>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</si>
  <si>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</si>
  <si>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</si>
  <si>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</si>
  <si>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</si>
  <si>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</si>
  <si>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</si>
  <si>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</si>
  <si>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</si>
  <si>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</si>
  <si>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</si>
  <si>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</si>
  <si>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</si>
  <si>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</si>
  <si>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</si>
  <si>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</si>
  <si>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</si>
  <si>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</si>
  <si>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</si>
  <si>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</si>
  <si>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</si>
  <si>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</si>
  <si>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</si>
  <si>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</si>
  <si>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</si>
  <si>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</si>
  <si>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</si>
  <si>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</si>
  <si>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</si>
  <si>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</si>
  <si>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</si>
  <si>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</si>
  <si>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</si>
  <si>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</si>
  <si>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</si>
  <si>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</si>
  <si>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</si>
  <si>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</si>
  <si>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</si>
  <si>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</si>
  <si>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</si>
  <si>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</si>
  <si>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</si>
  <si>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</si>
  <si>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</si>
  <si>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 legend</t>
  </si>
  <si>
    <t>Generation legend</t>
  </si>
  <si>
    <t>Who Spends More? A Comparison by Gender, Generation, and Product Category</t>
  </si>
  <si>
    <t>Categories</t>
  </si>
  <si>
    <t>Product category</t>
  </si>
  <si>
    <t>Another way</t>
  </si>
  <si>
    <t>Student name</t>
  </si>
  <si>
    <t>English</t>
  </si>
  <si>
    <t>Mathematics</t>
  </si>
  <si>
    <t>Science</t>
  </si>
  <si>
    <t xml:space="preserve">Average </t>
  </si>
  <si>
    <t>Highest score</t>
  </si>
  <si>
    <t>Additional support</t>
  </si>
  <si>
    <t>Ted</t>
  </si>
  <si>
    <t>No</t>
  </si>
  <si>
    <t>Linda</t>
  </si>
  <si>
    <t>Carol</t>
  </si>
  <si>
    <t>Khan</t>
  </si>
  <si>
    <t>Harry</t>
  </si>
  <si>
    <t>Sarah</t>
  </si>
  <si>
    <t>John</t>
  </si>
  <si>
    <t>Edward</t>
  </si>
  <si>
    <t>Yes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</si>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</sst>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;;&quot;&quot;;@"/>
    <numFmt numFmtId="165" formatCode="0.0%"/>
    <numFmt numFmtId="166" formatCode="_-[$£-809]* #,##0.00_-;\-[$£-809]* #,##0.00_-;_-[$£-809]* &quot;-&quot;??_-;_-@_-"/>
    <numFmt numFmtId="167" formatCode="_-[$£-809]* #,##0_-;\-[$£-809]* #,##0_-;_-[$£-809]* &quot;-&quot;??_-;_-@_-"/>
    <numFmt numFmtId="168" formatCode="[$£-809]#,##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6" fillId="0" borderId="0" xfId="0" applyFont="1"/>
    <xf numFmtId="0" fontId="18" fillId="0" borderId="10" xfId="0" applyFont="1" applyBorder="1"/>
    <xf numFmtId="10" fontId="0" fillId="0" borderId="0" xfId="0" applyNumberFormat="1"/>
    <xf numFmtId="166" fontId="0" fillId="0" borderId="0" xfId="0" applyNumberFormat="1"/>
    <xf numFmtId="0" fontId="18" fillId="0" borderId="11" xfId="0" applyFont="1" applyBorder="1"/>
    <xf numFmtId="164" fontId="19" fillId="0" borderId="11" xfId="0" applyNumberFormat="1" applyFont="1" applyBorder="1" applyAlignment="1">
      <alignment horizontal="left"/>
    </xf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2" fontId="18" fillId="0" borderId="10" xfId="0" applyNumberFormat="1" applyFont="1" applyBorder="1"/>
    <xf numFmtId="2" fontId="18" fillId="0" borderId="17" xfId="0" applyNumberFormat="1" applyFont="1" applyBorder="1"/>
    <xf numFmtId="167" fontId="0" fillId="0" borderId="0" xfId="0" applyNumberFormat="1"/>
    <xf numFmtId="0" fontId="0" fillId="0" borderId="10" xfId="0" applyBorder="1"/>
    <xf numFmtId="9" fontId="0" fillId="0" borderId="10" xfId="0" applyNumberFormat="1" applyBorder="1"/>
    <xf numFmtId="10" fontId="16" fillId="0" borderId="10" xfId="0" applyNumberFormat="1" applyFont="1" applyBorder="1"/>
    <xf numFmtId="165" fontId="0" fillId="0" borderId="14" xfId="0" applyNumberFormat="1" applyBorder="1"/>
    <xf numFmtId="10" fontId="0" fillId="0" borderId="10" xfId="0" applyNumberFormat="1" applyBorder="1"/>
    <xf numFmtId="10" fontId="16" fillId="0" borderId="18" xfId="0" applyNumberFormat="1" applyFont="1" applyBorder="1"/>
    <xf numFmtId="167" fontId="0" fillId="0" borderId="12" xfId="0" applyNumberFormat="1" applyBorder="1"/>
    <xf numFmtId="2" fontId="0" fillId="0" borderId="0" xfId="0" applyNumberFormat="1"/>
    <xf numFmtId="1" fontId="0" fillId="0" borderId="0" xfId="0" applyNumberFormat="1"/>
    <xf numFmtId="1" fontId="0" fillId="0" borderId="10" xfId="0" applyNumberFormat="1" applyBorder="1"/>
    <xf numFmtId="0" fontId="0" fillId="0" borderId="12" xfId="0" applyBorder="1"/>
    <xf numFmtId="0" fontId="16" fillId="0" borderId="10" xfId="0" applyFont="1" applyBorder="1"/>
    <xf numFmtId="0" fontId="16" fillId="0" borderId="12" xfId="0" applyFont="1" applyBorder="1"/>
    <xf numFmtId="0" fontId="18" fillId="0" borderId="14" xfId="0" applyFont="1" applyBorder="1"/>
    <xf numFmtId="0" fontId="16" fillId="0" borderId="10" xfId="0" applyFont="1" applyBorder="1" applyAlignment="1">
      <alignment horizontal="center" vertical="center"/>
    </xf>
    <xf numFmtId="10" fontId="16" fillId="0" borderId="10" xfId="0" applyNumberFormat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0" fontId="16" fillId="0" borderId="10" xfId="0" applyNumberFormat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17CEE4-45BB-4ABC-9F37-58AF194976A9}" name="RetailSales" displayName="RetailSales" ref="A1:H1001" totalsRowShown="0">
  <autoFilter ref="A1:H1001" xr:uid="{4017CEE4-45BB-4ABC-9F37-58AF194976A9}"/>
  <sortState xmlns:xlrd2="http://schemas.microsoft.com/office/spreadsheetml/2017/richdata2" ref="A2:H1001">
    <sortCondition ref="A1:A1001"/>
  </sortState>
  <tableColumns count="8">
    <tableColumn id="1" xr3:uid="{6F2CB435-984C-4EEA-BE59-79B2364F5A4D}" name="Transaction ID"/>
    <tableColumn id="2" xr3:uid="{838101C1-BCEB-40DA-BD29-D3EDB4738550}" name="Date"/>
    <tableColumn id="3" xr3:uid="{BB285A27-F83F-49C6-98AF-4E298FD8CE73}" name="Customer ID"/>
    <tableColumn id="4" xr3:uid="{0FD29C52-EE58-4D07-8FA5-09F743446728}" name="Gender"/>
    <tableColumn id="5" xr3:uid="{052BC812-CF33-4FDD-9A6C-EA5FC2DF369F}" name="Age"/>
    <tableColumn id="6" xr3:uid="{26FBA816-6B93-42F0-9320-8AF13A3AB126}" name="Product Category"/>
    <tableColumn id="7" xr3:uid="{B1C78E79-4B4B-4E0B-A69D-11B2D8CC08D0}" name="Quantity"/>
    <tableColumn id="8" xr3:uid="{906605D7-EE87-4AC2-9B14-0335E1491886}" name="Price per 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BB704-EFB1-47A6-BC35-361D4C1A83A2}" name="Table1" displayName="Table1" ref="A1:G11" totalsRowShown="0" headerRowDxfId="11" dataDxfId="10" headerRowBorderDxfId="8" tableBorderDxfId="9" totalsRowBorderDxfId="7">
  <autoFilter ref="A1:G11" xr:uid="{578BB704-EFB1-47A6-BC35-361D4C1A83A2}"/>
  <sortState xmlns:xlrd2="http://schemas.microsoft.com/office/spreadsheetml/2017/richdata2" ref="A2:F11">
    <sortCondition descending="1" ref="F1:F11"/>
  </sortState>
  <tableColumns count="7">
    <tableColumn id="1" xr3:uid="{DCF6D30F-45EC-4B2A-862A-EF2E50132269}" name="Student name" dataDxfId="6"/>
    <tableColumn id="2" xr3:uid="{0C1B3F9E-D516-4F12-B6D8-33D36667F1F4}" name="English" dataDxfId="5"/>
    <tableColumn id="3" xr3:uid="{36BCB78D-AF53-41C9-9BA4-4C3D8E9B1ECE}" name="Mathematics" dataDxfId="4"/>
    <tableColumn id="4" xr3:uid="{7C7AE594-789A-4599-B047-711A7AFF6A73}" name="Science" dataDxfId="3"/>
    <tableColumn id="5" xr3:uid="{E9031F73-250D-4355-B80A-1A6CA2A6B123}" name="Average " dataDxfId="2">
      <calculatedColumnFormula>AVERAGE(Table1[[#This Row],[English]:[Science]])</calculatedColumnFormula>
    </tableColumn>
    <tableColumn id="6" xr3:uid="{A8FA000E-2AFE-4A6F-AD95-7EB025B79B4A}" name="Highest score" dataDxfId="1">
      <calculatedColumnFormula>MAX(Table1[[#This Row],[English]:[Science]])</calculatedColumnFormula>
    </tableColumn>
    <tableColumn id="7" xr3:uid="{3C599EC4-9B23-4D86-B66B-CA68AF567EC2}" name="Additional supp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23"/>
  <sheetViews>
    <sheetView tabSelected="1" workbookViewId="0">
      <pane ySplit="1" topLeftCell="C2" activePane="bottomLeft" state="frozen"/>
      <selection pane="bottomLeft" activeCell="Q10" sqref="Q10"/>
    </sheetView>
  </sheetViews>
  <sheetFormatPr defaultColWidth="11.25" defaultRowHeight="15.75" customHeight="1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1.875" bestFit="1" customWidth="1"/>
    <col min="10" max="10" width="17.875" style="4" bestFit="1" customWidth="1"/>
    <col min="11" max="11" width="13.5" customWidth="1"/>
    <col min="12" max="12" width="15" bestFit="1" customWidth="1"/>
    <col min="13" max="13" width="13.5" customWidth="1"/>
    <col min="14" max="14" width="14.75" bestFit="1" customWidth="1"/>
    <col min="15" max="15" width="17.5" style="3" bestFit="1" customWidth="1"/>
    <col min="17" max="17" width="17.5" bestFit="1" customWidth="1"/>
    <col min="18" max="18" width="12.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t="s">
        <v>11</v>
      </c>
    </row>
    <row r="2" spans="1:18">
      <c r="A2">
        <v>1</v>
      </c>
      <c r="B2">
        <v>45254</v>
      </c>
      <c r="C2" t="s">
        <v>12</v>
      </c>
      <c r="D2" t="s">
        <v>13</v>
      </c>
      <c r="E2">
        <v>34</v>
      </c>
      <c r="F2" t="s">
        <v>14</v>
      </c>
      <c r="G2">
        <v>3</v>
      </c>
      <c r="H2">
        <v>50</v>
      </c>
      <c r="I2">
        <f>G2*H2</f>
        <v>150</v>
      </c>
      <c r="J2" s="4">
        <f>I2*$O$3</f>
        <v>2.25</v>
      </c>
      <c r="K2" t="str">
        <f>IF(RetailSales[[#This Row],[Age]]&lt;30,"Young Adult",IF(RetailSales[[#This Row],[Age]]&lt;50,"Adult","Senior"))</f>
        <v>Adult</v>
      </c>
      <c r="L2" t="str">
        <f>_xlfn.CONCAT(I2,"_",RetailSales[[#This Row],[Product Category]])</f>
        <v>150_Beauty</v>
      </c>
      <c r="O2" s="19" t="s">
        <v>15</v>
      </c>
    </row>
    <row r="3" spans="1:18">
      <c r="A3">
        <v>2</v>
      </c>
      <c r="B3">
        <v>44984</v>
      </c>
      <c r="C3" t="s">
        <v>16</v>
      </c>
      <c r="D3" t="s">
        <v>17</v>
      </c>
      <c r="E3">
        <v>26</v>
      </c>
      <c r="F3" t="s">
        <v>18</v>
      </c>
      <c r="G3">
        <v>2</v>
      </c>
      <c r="H3">
        <v>500</v>
      </c>
      <c r="I3">
        <f t="shared" ref="I3:I66" si="0">G3*H3</f>
        <v>1000</v>
      </c>
      <c r="J3" s="4">
        <f t="shared" ref="J3:J66" si="1">I3*$O$3</f>
        <v>15</v>
      </c>
      <c r="K3" t="str">
        <f>IF(RetailSales[[#This Row],[Age]]&lt;30,"Young Adult",IF(RetailSales[[#This Row],[Age]]&lt;50,"Adult","Senior"))</f>
        <v>Young Adult</v>
      </c>
      <c r="L3" t="str">
        <f>_xlfn.CONCAT(I3,"_",RetailSales[[#This Row],[Product Category]])</f>
        <v>1000_Clothing</v>
      </c>
      <c r="N3" s="17" t="s">
        <v>9</v>
      </c>
      <c r="O3" s="20">
        <v>1.4999999999999999E-2</v>
      </c>
    </row>
    <row r="4" spans="1:18">
      <c r="A4">
        <v>3</v>
      </c>
      <c r="B4">
        <v>44939</v>
      </c>
      <c r="C4" t="s">
        <v>19</v>
      </c>
      <c r="D4" t="s">
        <v>13</v>
      </c>
      <c r="E4">
        <v>50</v>
      </c>
      <c r="F4" t="s">
        <v>20</v>
      </c>
      <c r="G4">
        <v>1</v>
      </c>
      <c r="H4">
        <v>30</v>
      </c>
      <c r="I4">
        <f t="shared" si="0"/>
        <v>30</v>
      </c>
      <c r="J4" s="4">
        <f t="shared" si="1"/>
        <v>0.44999999999999996</v>
      </c>
      <c r="K4" t="str">
        <f>IF(RetailSales[[#This Row],[Age]]&lt;30,"Young Adult",IF(RetailSales[[#This Row],[Age]]&lt;50,"Adult","Senior"))</f>
        <v>Senior</v>
      </c>
      <c r="L4" t="str">
        <f>_xlfn.CONCAT(I4,"_",RetailSales[[#This Row],[Product Category]])</f>
        <v>30_Electronics</v>
      </c>
      <c r="N4" s="17" t="s">
        <v>21</v>
      </c>
      <c r="O4" s="18">
        <v>0.02</v>
      </c>
    </row>
    <row r="5" spans="1:18">
      <c r="A5">
        <v>4</v>
      </c>
      <c r="B5">
        <v>45067</v>
      </c>
      <c r="C5" t="s">
        <v>22</v>
      </c>
      <c r="D5" t="s">
        <v>13</v>
      </c>
      <c r="E5">
        <v>37</v>
      </c>
      <c r="F5" t="s">
        <v>18</v>
      </c>
      <c r="G5">
        <v>1</v>
      </c>
      <c r="H5">
        <v>500</v>
      </c>
      <c r="I5">
        <f t="shared" si="0"/>
        <v>500</v>
      </c>
      <c r="J5" s="4">
        <f t="shared" si="1"/>
        <v>7.5</v>
      </c>
      <c r="K5" t="str">
        <f>IF(RetailSales[[#This Row],[Age]]&lt;30,"Young Adult",IF(RetailSales[[#This Row],[Age]]&lt;50,"Adult","Senior"))</f>
        <v>Adult</v>
      </c>
      <c r="L5" t="str">
        <f>_xlfn.CONCAT(I5,"_",RetailSales[[#This Row],[Product Category]])</f>
        <v>500_Clothing</v>
      </c>
    </row>
    <row r="6" spans="1:18">
      <c r="A6">
        <v>5</v>
      </c>
      <c r="B6">
        <v>45052</v>
      </c>
      <c r="C6" t="s">
        <v>23</v>
      </c>
      <c r="D6" t="s">
        <v>13</v>
      </c>
      <c r="E6">
        <v>30</v>
      </c>
      <c r="F6" t="s">
        <v>14</v>
      </c>
      <c r="G6">
        <v>2</v>
      </c>
      <c r="H6">
        <v>50</v>
      </c>
      <c r="I6">
        <f t="shared" si="0"/>
        <v>100</v>
      </c>
      <c r="J6" s="4">
        <f t="shared" si="1"/>
        <v>1.5</v>
      </c>
      <c r="K6" t="str">
        <f>IF(RetailSales[[#This Row],[Age]]&lt;30,"Young Adult",IF(RetailSales[[#This Row],[Age]]&lt;50,"Adult","Senior"))</f>
        <v>Adult</v>
      </c>
      <c r="L6" t="str">
        <f>_xlfn.CONCAT(I6,"_",RetailSales[[#This Row],[Product Category]])</f>
        <v>100_Beauty</v>
      </c>
    </row>
    <row r="7" spans="1:18">
      <c r="A7">
        <v>6</v>
      </c>
      <c r="B7">
        <v>45041</v>
      </c>
      <c r="C7" t="s">
        <v>24</v>
      </c>
      <c r="D7" t="s">
        <v>17</v>
      </c>
      <c r="E7">
        <v>45</v>
      </c>
      <c r="F7" t="s">
        <v>14</v>
      </c>
      <c r="G7">
        <v>1</v>
      </c>
      <c r="H7">
        <v>30</v>
      </c>
      <c r="I7">
        <f t="shared" si="0"/>
        <v>30</v>
      </c>
      <c r="J7" s="4">
        <f t="shared" si="1"/>
        <v>0.44999999999999996</v>
      </c>
      <c r="K7" t="str">
        <f>IF(RetailSales[[#This Row],[Age]]&lt;30,"Young Adult",IF(RetailSales[[#This Row],[Age]]&lt;50,"Adult","Senior"))</f>
        <v>Adult</v>
      </c>
      <c r="L7" t="str">
        <f>_xlfn.CONCAT(I7,"_",RetailSales[[#This Row],[Product Category]])</f>
        <v>30_Beauty</v>
      </c>
    </row>
    <row r="8" spans="1:18">
      <c r="A8">
        <v>7</v>
      </c>
      <c r="B8">
        <v>44998</v>
      </c>
      <c r="C8" t="s">
        <v>25</v>
      </c>
      <c r="D8" t="s">
        <v>13</v>
      </c>
      <c r="E8">
        <v>46</v>
      </c>
      <c r="F8" t="s">
        <v>18</v>
      </c>
      <c r="G8">
        <v>2</v>
      </c>
      <c r="H8">
        <v>25</v>
      </c>
      <c r="I8">
        <f t="shared" si="0"/>
        <v>50</v>
      </c>
      <c r="J8" s="4">
        <f t="shared" si="1"/>
        <v>0.75</v>
      </c>
      <c r="K8" t="str">
        <f>IF(RetailSales[[#This Row],[Age]]&lt;30,"Young Adult",IF(RetailSales[[#This Row],[Age]]&lt;50,"Adult","Senior"))</f>
        <v>Adult</v>
      </c>
      <c r="L8" t="str">
        <f>_xlfn.CONCAT(I8,"_",RetailSales[[#This Row],[Product Category]])</f>
        <v>50_Clothing</v>
      </c>
    </row>
    <row r="9" spans="1:18">
      <c r="A9">
        <v>8</v>
      </c>
      <c r="B9">
        <v>44979</v>
      </c>
      <c r="C9" t="s">
        <v>26</v>
      </c>
      <c r="D9" t="s">
        <v>13</v>
      </c>
      <c r="E9">
        <v>30</v>
      </c>
      <c r="F9" t="s">
        <v>20</v>
      </c>
      <c r="G9">
        <v>4</v>
      </c>
      <c r="H9">
        <v>25</v>
      </c>
      <c r="I9">
        <f t="shared" si="0"/>
        <v>100</v>
      </c>
      <c r="J9" s="4">
        <f t="shared" si="1"/>
        <v>1.5</v>
      </c>
      <c r="K9" t="str">
        <f>IF(RetailSales[[#This Row],[Age]]&lt;30,"Young Adult",IF(RetailSales[[#This Row],[Age]]&lt;50,"Adult","Senior"))</f>
        <v>Adult</v>
      </c>
      <c r="L9" t="str">
        <f>_xlfn.CONCAT(I9,"_",RetailSales[[#This Row],[Product Category]])</f>
        <v>100_Electronics</v>
      </c>
    </row>
    <row r="10" spans="1:18">
      <c r="A10">
        <v>9</v>
      </c>
      <c r="B10">
        <v>45273</v>
      </c>
      <c r="C10" t="s">
        <v>27</v>
      </c>
      <c r="D10" t="s">
        <v>13</v>
      </c>
      <c r="E10">
        <v>63</v>
      </c>
      <c r="F10" t="s">
        <v>20</v>
      </c>
      <c r="G10">
        <v>2</v>
      </c>
      <c r="H10">
        <v>300</v>
      </c>
      <c r="I10">
        <f t="shared" si="0"/>
        <v>600</v>
      </c>
      <c r="J10" s="4">
        <f t="shared" si="1"/>
        <v>9</v>
      </c>
      <c r="K10" t="str">
        <f>IF(RetailSales[[#This Row],[Age]]&lt;30,"Young Adult",IF(RetailSales[[#This Row],[Age]]&lt;50,"Adult","Senior"))</f>
        <v>Senior</v>
      </c>
      <c r="L10" t="str">
        <f>_xlfn.CONCAT(I10,"_",RetailSales[[#This Row],[Product Category]])</f>
        <v>600_Electronics</v>
      </c>
      <c r="O10" t="s">
        <v>28</v>
      </c>
      <c r="P10" s="38">
        <f>SUM(J2:J1001)</f>
        <v>6840</v>
      </c>
    </row>
    <row r="11" spans="1:18">
      <c r="A11">
        <v>10</v>
      </c>
      <c r="B11">
        <v>45206</v>
      </c>
      <c r="C11" t="s">
        <v>29</v>
      </c>
      <c r="D11" t="s">
        <v>17</v>
      </c>
      <c r="E11">
        <v>52</v>
      </c>
      <c r="F11" t="s">
        <v>18</v>
      </c>
      <c r="G11">
        <v>4</v>
      </c>
      <c r="H11">
        <v>50</v>
      </c>
      <c r="I11">
        <f t="shared" si="0"/>
        <v>200</v>
      </c>
      <c r="J11" s="4">
        <f t="shared" si="1"/>
        <v>3</v>
      </c>
      <c r="K11" t="str">
        <f>IF(RetailSales[[#This Row],[Age]]&lt;30,"Young Adult",IF(RetailSales[[#This Row],[Age]]&lt;50,"Adult","Senior"))</f>
        <v>Senior</v>
      </c>
      <c r="L11" t="str">
        <f>_xlfn.CONCAT(I11,"_",RetailSales[[#This Row],[Product Category]])</f>
        <v>200_Clothing</v>
      </c>
      <c r="O11" t="s">
        <v>30</v>
      </c>
      <c r="P11" s="38">
        <f>AVERAGE(J2:J1001)</f>
        <v>6.84</v>
      </c>
    </row>
    <row r="12" spans="1:18">
      <c r="A12">
        <v>11</v>
      </c>
      <c r="B12">
        <v>44971</v>
      </c>
      <c r="C12" t="s">
        <v>31</v>
      </c>
      <c r="D12" t="s">
        <v>13</v>
      </c>
      <c r="E12">
        <v>23</v>
      </c>
      <c r="F12" t="s">
        <v>18</v>
      </c>
      <c r="G12">
        <v>2</v>
      </c>
      <c r="H12">
        <v>50</v>
      </c>
      <c r="I12">
        <f t="shared" si="0"/>
        <v>100</v>
      </c>
      <c r="J12" s="4">
        <f t="shared" si="1"/>
        <v>1.5</v>
      </c>
      <c r="K12" t="str">
        <f>IF(RetailSales[[#This Row],[Age]]&lt;30,"Young Adult",IF(RetailSales[[#This Row],[Age]]&lt;50,"Adult","Senior"))</f>
        <v>Young Adult</v>
      </c>
      <c r="L12" t="str">
        <f>_xlfn.CONCAT(I12,"_",RetailSales[[#This Row],[Product Category]])</f>
        <v>100_Clothing</v>
      </c>
    </row>
    <row r="13" spans="1:18">
      <c r="A13">
        <v>12</v>
      </c>
      <c r="B13">
        <v>45229</v>
      </c>
      <c r="C13" t="s">
        <v>32</v>
      </c>
      <c r="D13" t="s">
        <v>13</v>
      </c>
      <c r="E13">
        <v>35</v>
      </c>
      <c r="F13" t="s">
        <v>14</v>
      </c>
      <c r="G13">
        <v>3</v>
      </c>
      <c r="H13">
        <v>25</v>
      </c>
      <c r="I13">
        <f t="shared" si="0"/>
        <v>75</v>
      </c>
      <c r="J13" s="4">
        <f t="shared" si="1"/>
        <v>1.125</v>
      </c>
      <c r="K13" t="str">
        <f>IF(RetailSales[[#This Row],[Age]]&lt;30,"Young Adult",IF(RetailSales[[#This Row],[Age]]&lt;50,"Adult","Senior"))</f>
        <v>Adult</v>
      </c>
      <c r="L13" t="str">
        <f>_xlfn.CONCAT(I13,"_",RetailSales[[#This Row],[Product Category]])</f>
        <v>75_Beauty</v>
      </c>
    </row>
    <row r="14" spans="1:18">
      <c r="A14">
        <v>13</v>
      </c>
      <c r="B14">
        <v>45143</v>
      </c>
      <c r="C14" t="s">
        <v>33</v>
      </c>
      <c r="D14" t="s">
        <v>13</v>
      </c>
      <c r="E14">
        <v>22</v>
      </c>
      <c r="F14" t="s">
        <v>20</v>
      </c>
      <c r="G14">
        <v>3</v>
      </c>
      <c r="H14">
        <v>500</v>
      </c>
      <c r="I14">
        <f t="shared" si="0"/>
        <v>1500</v>
      </c>
      <c r="J14" s="4">
        <f t="shared" si="1"/>
        <v>22.5</v>
      </c>
      <c r="K14" t="str">
        <f>IF(RetailSales[[#This Row],[Age]]&lt;30,"Young Adult",IF(RetailSales[[#This Row],[Age]]&lt;50,"Adult","Senior"))</f>
        <v>Young Adult</v>
      </c>
      <c r="L14" t="str">
        <f>_xlfn.CONCAT(I14,"_",RetailSales[[#This Row],[Product Category]])</f>
        <v>1500_Electronics</v>
      </c>
    </row>
    <row r="15" spans="1:18">
      <c r="A15">
        <v>14</v>
      </c>
      <c r="B15">
        <v>44943</v>
      </c>
      <c r="C15" t="s">
        <v>34</v>
      </c>
      <c r="D15" t="s">
        <v>13</v>
      </c>
      <c r="E15">
        <v>64</v>
      </c>
      <c r="F15" t="s">
        <v>18</v>
      </c>
      <c r="G15">
        <v>4</v>
      </c>
      <c r="H15">
        <v>30</v>
      </c>
      <c r="I15">
        <f t="shared" si="0"/>
        <v>120</v>
      </c>
      <c r="J15" s="4">
        <f t="shared" si="1"/>
        <v>1.7999999999999998</v>
      </c>
      <c r="K15" t="str">
        <f>IF(RetailSales[[#This Row],[Age]]&lt;30,"Young Adult",IF(RetailSales[[#This Row],[Age]]&lt;50,"Adult","Senior"))</f>
        <v>Senior</v>
      </c>
      <c r="L15" t="str">
        <f>_xlfn.CONCAT(I15,"_",RetailSales[[#This Row],[Product Category]])</f>
        <v>120_Clothing</v>
      </c>
    </row>
    <row r="16" spans="1:18">
      <c r="A16">
        <v>15</v>
      </c>
      <c r="B16">
        <v>44942</v>
      </c>
      <c r="C16" t="s">
        <v>35</v>
      </c>
      <c r="D16" t="s">
        <v>17</v>
      </c>
      <c r="E16">
        <v>42</v>
      </c>
      <c r="F16" t="s">
        <v>20</v>
      </c>
      <c r="G16">
        <v>4</v>
      </c>
      <c r="H16">
        <v>500</v>
      </c>
      <c r="I16">
        <f t="shared" si="0"/>
        <v>2000</v>
      </c>
      <c r="J16" s="4">
        <f t="shared" si="1"/>
        <v>30</v>
      </c>
      <c r="K16" t="str">
        <f>IF(RetailSales[[#This Row],[Age]]&lt;30,"Young Adult",IF(RetailSales[[#This Row],[Age]]&lt;50,"Adult","Senior"))</f>
        <v>Adult</v>
      </c>
      <c r="L16" t="str">
        <f>_xlfn.CONCAT(I16,"_",RetailSales[[#This Row],[Product Category]])</f>
        <v>2000_Electronics</v>
      </c>
      <c r="P16" s="37" t="s">
        <v>6</v>
      </c>
      <c r="Q16" s="37"/>
      <c r="R16" s="1"/>
    </row>
    <row r="17" spans="1:22">
      <c r="A17">
        <v>16</v>
      </c>
      <c r="B17">
        <v>44974</v>
      </c>
      <c r="C17" t="s">
        <v>36</v>
      </c>
      <c r="D17" t="s">
        <v>13</v>
      </c>
      <c r="E17">
        <v>19</v>
      </c>
      <c r="F17" t="s">
        <v>18</v>
      </c>
      <c r="G17">
        <v>3</v>
      </c>
      <c r="H17">
        <v>500</v>
      </c>
      <c r="I17">
        <f t="shared" si="0"/>
        <v>1500</v>
      </c>
      <c r="J17" s="4">
        <f t="shared" si="1"/>
        <v>22.5</v>
      </c>
      <c r="K17" t="str">
        <f>IF(RetailSales[[#This Row],[Age]]&lt;30,"Young Adult",IF(RetailSales[[#This Row],[Age]]&lt;50,"Adult","Senior"))</f>
        <v>Young Adult</v>
      </c>
      <c r="L17" t="str">
        <f>_xlfn.CONCAT(I17,"_",RetailSales[[#This Row],[Product Category]])</f>
        <v>1500_Clothing</v>
      </c>
      <c r="O17" s="22" t="s">
        <v>37</v>
      </c>
      <c r="P17" s="28" t="s">
        <v>13</v>
      </c>
      <c r="Q17" s="29" t="s">
        <v>17</v>
      </c>
      <c r="R17" s="28" t="s">
        <v>38</v>
      </c>
      <c r="U17" s="3" t="s">
        <v>39</v>
      </c>
      <c r="V17" t="s">
        <v>40</v>
      </c>
    </row>
    <row r="18" spans="1:22">
      <c r="A18">
        <v>17</v>
      </c>
      <c r="B18">
        <v>45038</v>
      </c>
      <c r="C18" t="s">
        <v>41</v>
      </c>
      <c r="D18" t="s">
        <v>17</v>
      </c>
      <c r="E18">
        <v>27</v>
      </c>
      <c r="F18" t="s">
        <v>18</v>
      </c>
      <c r="G18">
        <v>4</v>
      </c>
      <c r="H18">
        <v>25</v>
      </c>
      <c r="I18">
        <f t="shared" si="0"/>
        <v>100</v>
      </c>
      <c r="J18" s="4">
        <f t="shared" si="1"/>
        <v>1.5</v>
      </c>
      <c r="K18" t="str">
        <f>IF(RetailSales[[#This Row],[Age]]&lt;30,"Young Adult",IF(RetailSales[[#This Row],[Age]]&lt;50,"Adult","Senior"))</f>
        <v>Young Adult</v>
      </c>
      <c r="L18" t="str">
        <f>_xlfn.CONCAT(I18,"_",RetailSales[[#This Row],[Product Category]])</f>
        <v>100_Clothing</v>
      </c>
      <c r="N18" s="17" t="s">
        <v>42</v>
      </c>
      <c r="O18" s="23">
        <f>SUM(I:I)</f>
        <v>456000</v>
      </c>
      <c r="P18" s="17">
        <f>SUMIF(RetailSales[Gender],P17,RetailSales[Quantity])</f>
        <v>1216</v>
      </c>
      <c r="Q18" s="27">
        <f>SUMIF(RetailSales[Gender],Q17,RetailSales[Quantity])</f>
        <v>1298</v>
      </c>
      <c r="R18" s="17">
        <f>AVERAGE(I2:I1001)</f>
        <v>456</v>
      </c>
      <c r="T18" t="s">
        <v>43</v>
      </c>
      <c r="U18" s="25">
        <f>COUNT(RetailSales[Transaction ID])</f>
        <v>1000</v>
      </c>
      <c r="V18">
        <f>COUNT(RetailSales[Product Category])</f>
        <v>0</v>
      </c>
    </row>
    <row r="19" spans="1:22">
      <c r="A19">
        <v>18</v>
      </c>
      <c r="B19">
        <v>45046</v>
      </c>
      <c r="C19" t="s">
        <v>44</v>
      </c>
      <c r="D19" t="s">
        <v>17</v>
      </c>
      <c r="E19">
        <v>47</v>
      </c>
      <c r="F19" t="s">
        <v>20</v>
      </c>
      <c r="G19">
        <v>2</v>
      </c>
      <c r="H19">
        <v>25</v>
      </c>
      <c r="I19">
        <f t="shared" si="0"/>
        <v>50</v>
      </c>
      <c r="J19" s="4">
        <f t="shared" si="1"/>
        <v>0.75</v>
      </c>
      <c r="K19" t="str">
        <f>IF(RetailSales[[#This Row],[Age]]&lt;30,"Young Adult",IF(RetailSales[[#This Row],[Age]]&lt;50,"Adult","Senior"))</f>
        <v>Adult</v>
      </c>
      <c r="L19" t="str">
        <f>_xlfn.CONCAT(I19,"_",RetailSales[[#This Row],[Product Category]])</f>
        <v>50_Electronics</v>
      </c>
      <c r="N19" s="21" t="str" cm="1">
        <f t="array" ref="N19:N21">_xlfn.UNIQUE(RetailSales[Product Category])</f>
        <v>Beauty</v>
      </c>
      <c r="O19" s="23">
        <f>SUMIF(RetailSales[Product Category],N19,I$2:I$1001)</f>
        <v>143515</v>
      </c>
      <c r="P19" s="17">
        <f>SUMIFS(RetailSales[Quantity],RetailSales[Product Category],N19,RetailSales[Gender],$P$17)</f>
        <v>353</v>
      </c>
      <c r="Q19" s="27">
        <f>SUMIFS(RetailSales[Quantity],RetailSales[Product Category],N19,RetailSales[Gender],$Q$17)</f>
        <v>418</v>
      </c>
      <c r="R19" s="26">
        <f>AVERAGEIF(RetailSales[Product Category],N19,$I$2:$I$1001)</f>
        <v>467.47557003257327</v>
      </c>
      <c r="T19" t="s">
        <v>45</v>
      </c>
      <c r="U19" s="25">
        <f>COUNTA(RetailSales[Transaction ID])</f>
        <v>1000</v>
      </c>
      <c r="V19">
        <f>COUNTA(RetailSales[Product Category])</f>
        <v>1000</v>
      </c>
    </row>
    <row r="20" spans="1:22">
      <c r="A20">
        <v>19</v>
      </c>
      <c r="B20">
        <v>45185</v>
      </c>
      <c r="C20" t="s">
        <v>46</v>
      </c>
      <c r="D20" t="s">
        <v>17</v>
      </c>
      <c r="E20">
        <v>62</v>
      </c>
      <c r="F20" t="s">
        <v>18</v>
      </c>
      <c r="G20">
        <v>2</v>
      </c>
      <c r="H20">
        <v>25</v>
      </c>
      <c r="I20">
        <f t="shared" si="0"/>
        <v>50</v>
      </c>
      <c r="J20" s="4">
        <f t="shared" si="1"/>
        <v>0.75</v>
      </c>
      <c r="K20" t="str">
        <f>IF(RetailSales[[#This Row],[Age]]&lt;30,"Young Adult",IF(RetailSales[[#This Row],[Age]]&lt;50,"Adult","Senior"))</f>
        <v>Senior</v>
      </c>
      <c r="L20" t="str">
        <f>_xlfn.CONCAT(I20,"_",RetailSales[[#This Row],[Product Category]])</f>
        <v>50_Clothing</v>
      </c>
      <c r="N20" s="21" t="str">
        <v>Clothing</v>
      </c>
      <c r="O20" s="23">
        <f>SUMIF(RetailSales[Product Category],N20,I$2:I$1001)</f>
        <v>155580</v>
      </c>
      <c r="P20" s="17">
        <f>SUMIFS(RetailSales[Quantity],RetailSales[Product Category],N20,RetailSales[Gender],$P$17)</f>
        <v>453</v>
      </c>
      <c r="Q20" s="27">
        <f>SUMIFS(RetailSales[Quantity],RetailSales[Product Category],N20,RetailSales[Gender],$Q$17)</f>
        <v>441</v>
      </c>
      <c r="R20" s="26">
        <f>AVERAGEIF(RetailSales[Product Category],N20,$I$2:$I$1001)</f>
        <v>443.24786324786322</v>
      </c>
      <c r="T20" t="s">
        <v>47</v>
      </c>
      <c r="U20" s="25">
        <f>COUNTBLANK(RetailSales[Transaction ID])</f>
        <v>0</v>
      </c>
      <c r="V20">
        <f>COUNTBLANK(RetailSales[Product Category])</f>
        <v>0</v>
      </c>
    </row>
    <row r="21" spans="1:22">
      <c r="A21">
        <v>20</v>
      </c>
      <c r="B21">
        <v>45235</v>
      </c>
      <c r="C21" t="s">
        <v>48</v>
      </c>
      <c r="D21" t="s">
        <v>13</v>
      </c>
      <c r="E21">
        <v>22</v>
      </c>
      <c r="F21" t="s">
        <v>18</v>
      </c>
      <c r="G21">
        <v>3</v>
      </c>
      <c r="H21">
        <v>300</v>
      </c>
      <c r="I21">
        <f t="shared" si="0"/>
        <v>900</v>
      </c>
      <c r="J21" s="4">
        <f t="shared" si="1"/>
        <v>13.5</v>
      </c>
      <c r="K21" t="str">
        <f>IF(RetailSales[[#This Row],[Age]]&lt;30,"Young Adult",IF(RetailSales[[#This Row],[Age]]&lt;50,"Adult","Senior"))</f>
        <v>Young Adult</v>
      </c>
      <c r="L21" t="str">
        <f>_xlfn.CONCAT(I21,"_",RetailSales[[#This Row],[Product Category]])</f>
        <v>900_Clothing</v>
      </c>
      <c r="N21" s="21" t="str">
        <v>Electronics</v>
      </c>
      <c r="O21" s="23">
        <f>SUMIF(RetailSales[Product Category],N21,I$2:I$1001)</f>
        <v>156905</v>
      </c>
      <c r="P21" s="17">
        <f>SUMIFS(RetailSales[Quantity],RetailSales[Product Category],N21,RetailSales[Gender],$P$17)</f>
        <v>410</v>
      </c>
      <c r="Q21" s="27">
        <f>SUMIFS(RetailSales[Quantity],RetailSales[Product Category],N21,RetailSales[Gender],$Q$17)</f>
        <v>439</v>
      </c>
      <c r="R21" s="26">
        <f>AVERAGEIF(RetailSales[Product Category],N21,$I$2:$I$1001)</f>
        <v>458.78654970760232</v>
      </c>
    </row>
    <row r="22" spans="1:22">
      <c r="A22">
        <v>21</v>
      </c>
      <c r="B22">
        <v>44940</v>
      </c>
      <c r="C22" t="s">
        <v>49</v>
      </c>
      <c r="D22" t="s">
        <v>17</v>
      </c>
      <c r="E22">
        <v>50</v>
      </c>
      <c r="F22" t="s">
        <v>14</v>
      </c>
      <c r="G22">
        <v>1</v>
      </c>
      <c r="H22">
        <v>500</v>
      </c>
      <c r="I22">
        <f t="shared" si="0"/>
        <v>500</v>
      </c>
      <c r="J22" s="4">
        <f t="shared" si="1"/>
        <v>7.5</v>
      </c>
      <c r="K22" t="str">
        <f>IF(RetailSales[[#This Row],[Age]]&lt;30,"Young Adult",IF(RetailSales[[#This Row],[Age]]&lt;50,"Adult","Senior"))</f>
        <v>Senior</v>
      </c>
      <c r="L22" t="str">
        <f>_xlfn.CONCAT(I22,"_",RetailSales[[#This Row],[Product Category]])</f>
        <v>500_Beauty</v>
      </c>
      <c r="O22" s="16"/>
    </row>
    <row r="23" spans="1:22">
      <c r="A23">
        <v>22</v>
      </c>
      <c r="B23">
        <v>45214</v>
      </c>
      <c r="C23" t="s">
        <v>50</v>
      </c>
      <c r="D23" t="s">
        <v>13</v>
      </c>
      <c r="E23">
        <v>18</v>
      </c>
      <c r="F23" t="s">
        <v>18</v>
      </c>
      <c r="G23">
        <v>2</v>
      </c>
      <c r="H23">
        <v>50</v>
      </c>
      <c r="I23">
        <f t="shared" si="0"/>
        <v>100</v>
      </c>
      <c r="J23" s="4">
        <f t="shared" si="1"/>
        <v>1.5</v>
      </c>
      <c r="K23" t="str">
        <f>IF(RetailSales[[#This Row],[Age]]&lt;30,"Young Adult",IF(RetailSales[[#This Row],[Age]]&lt;50,"Adult","Senior"))</f>
        <v>Young Adult</v>
      </c>
      <c r="L23" t="str">
        <f>_xlfn.CONCAT(I23,"_",RetailSales[[#This Row],[Product Category]])</f>
        <v>100_Clothing</v>
      </c>
    </row>
    <row r="24" spans="1:22">
      <c r="A24">
        <v>23</v>
      </c>
      <c r="B24">
        <v>45028</v>
      </c>
      <c r="C24" t="s">
        <v>51</v>
      </c>
      <c r="D24" t="s">
        <v>17</v>
      </c>
      <c r="E24">
        <v>35</v>
      </c>
      <c r="F24" t="s">
        <v>18</v>
      </c>
      <c r="G24">
        <v>4</v>
      </c>
      <c r="H24">
        <v>30</v>
      </c>
      <c r="I24">
        <f t="shared" si="0"/>
        <v>120</v>
      </c>
      <c r="J24" s="4">
        <f t="shared" si="1"/>
        <v>1.7999999999999998</v>
      </c>
      <c r="K24" t="str">
        <f>IF(RetailSales[[#This Row],[Age]]&lt;30,"Young Adult",IF(RetailSales[[#This Row],[Age]]&lt;50,"Adult","Senior"))</f>
        <v>Adult</v>
      </c>
      <c r="L24" t="str">
        <f>_xlfn.CONCAT(I24,"_",RetailSales[[#This Row],[Product Category]])</f>
        <v>120_Clothing</v>
      </c>
    </row>
    <row r="25" spans="1:22">
      <c r="A25">
        <v>24</v>
      </c>
      <c r="B25">
        <v>45259</v>
      </c>
      <c r="C25" t="s">
        <v>52</v>
      </c>
      <c r="D25" t="s">
        <v>17</v>
      </c>
      <c r="E25">
        <v>49</v>
      </c>
      <c r="F25" t="s">
        <v>18</v>
      </c>
      <c r="G25">
        <v>1</v>
      </c>
      <c r="H25">
        <v>300</v>
      </c>
      <c r="I25">
        <f t="shared" si="0"/>
        <v>300</v>
      </c>
      <c r="J25" s="4">
        <f t="shared" si="1"/>
        <v>4.5</v>
      </c>
      <c r="K25" t="str">
        <f>IF(RetailSales[[#This Row],[Age]]&lt;30,"Young Adult",IF(RetailSales[[#This Row],[Age]]&lt;50,"Adult","Senior"))</f>
        <v>Adult</v>
      </c>
      <c r="L25" t="str">
        <f>_xlfn.CONCAT(I25,"_",RetailSales[[#This Row],[Product Category]])</f>
        <v>300_Clothing</v>
      </c>
    </row>
    <row r="26" spans="1:22">
      <c r="A26">
        <v>25</v>
      </c>
      <c r="B26">
        <v>45286</v>
      </c>
      <c r="C26" t="s">
        <v>53</v>
      </c>
      <c r="D26" t="s">
        <v>17</v>
      </c>
      <c r="E26">
        <v>64</v>
      </c>
      <c r="F26" t="s">
        <v>14</v>
      </c>
      <c r="G26">
        <v>1</v>
      </c>
      <c r="H26">
        <v>50</v>
      </c>
      <c r="I26">
        <f t="shared" si="0"/>
        <v>50</v>
      </c>
      <c r="J26" s="4">
        <f t="shared" si="1"/>
        <v>0.75</v>
      </c>
      <c r="K26" t="str">
        <f>IF(RetailSales[[#This Row],[Age]]&lt;30,"Young Adult",IF(RetailSales[[#This Row],[Age]]&lt;50,"Adult","Senior"))</f>
        <v>Senior</v>
      </c>
      <c r="L26" t="str">
        <f>_xlfn.CONCAT(I26,"_",RetailSales[[#This Row],[Product Category]])</f>
        <v>50_Beauty</v>
      </c>
    </row>
    <row r="27" spans="1:22">
      <c r="A27">
        <v>26</v>
      </c>
      <c r="B27">
        <v>45206</v>
      </c>
      <c r="C27" t="s">
        <v>54</v>
      </c>
      <c r="D27" t="s">
        <v>17</v>
      </c>
      <c r="E27">
        <v>28</v>
      </c>
      <c r="F27" t="s">
        <v>20</v>
      </c>
      <c r="G27">
        <v>2</v>
      </c>
      <c r="H27">
        <v>500</v>
      </c>
      <c r="I27">
        <f t="shared" si="0"/>
        <v>1000</v>
      </c>
      <c r="J27" s="4">
        <f t="shared" si="1"/>
        <v>15</v>
      </c>
      <c r="K27" t="str">
        <f>IF(RetailSales[[#This Row],[Age]]&lt;30,"Young Adult",IF(RetailSales[[#This Row],[Age]]&lt;50,"Adult","Senior"))</f>
        <v>Young Adult</v>
      </c>
      <c r="L27" t="str">
        <f>_xlfn.CONCAT(I27,"_",RetailSales[[#This Row],[Product Category]])</f>
        <v>1000_Electronics</v>
      </c>
    </row>
    <row r="28" spans="1:22">
      <c r="A28">
        <v>27</v>
      </c>
      <c r="B28">
        <v>45141</v>
      </c>
      <c r="C28" t="s">
        <v>55</v>
      </c>
      <c r="D28" t="s">
        <v>17</v>
      </c>
      <c r="E28">
        <v>38</v>
      </c>
      <c r="F28" t="s">
        <v>14</v>
      </c>
      <c r="G28">
        <v>2</v>
      </c>
      <c r="H28">
        <v>25</v>
      </c>
      <c r="I28">
        <f t="shared" si="0"/>
        <v>50</v>
      </c>
      <c r="J28" s="4">
        <f t="shared" si="1"/>
        <v>0.75</v>
      </c>
      <c r="K28" t="str">
        <f>IF(RetailSales[[#This Row],[Age]]&lt;30,"Young Adult",IF(RetailSales[[#This Row],[Age]]&lt;50,"Adult","Senior"))</f>
        <v>Adult</v>
      </c>
      <c r="L28" t="str">
        <f>_xlfn.CONCAT(I28,"_",RetailSales[[#This Row],[Product Category]])</f>
        <v>50_Beauty</v>
      </c>
    </row>
    <row r="29" spans="1:22">
      <c r="A29">
        <v>28</v>
      </c>
      <c r="B29">
        <v>45039</v>
      </c>
      <c r="C29" t="s">
        <v>56</v>
      </c>
      <c r="D29" t="s">
        <v>17</v>
      </c>
      <c r="E29">
        <v>43</v>
      </c>
      <c r="F29" t="s">
        <v>14</v>
      </c>
      <c r="G29">
        <v>1</v>
      </c>
      <c r="H29">
        <v>500</v>
      </c>
      <c r="I29">
        <f t="shared" si="0"/>
        <v>500</v>
      </c>
      <c r="J29" s="4">
        <f t="shared" si="1"/>
        <v>7.5</v>
      </c>
      <c r="K29" t="str">
        <f>IF(RetailSales[[#This Row],[Age]]&lt;30,"Young Adult",IF(RetailSales[[#This Row],[Age]]&lt;50,"Adult","Senior"))</f>
        <v>Adult</v>
      </c>
      <c r="L29" t="str">
        <f>_xlfn.CONCAT(I29,"_",RetailSales[[#This Row],[Product Category]])</f>
        <v>500_Beauty</v>
      </c>
    </row>
    <row r="30" spans="1:22">
      <c r="A30">
        <v>29</v>
      </c>
      <c r="B30">
        <v>45156</v>
      </c>
      <c r="C30" t="s">
        <v>57</v>
      </c>
      <c r="D30" t="s">
        <v>17</v>
      </c>
      <c r="E30">
        <v>42</v>
      </c>
      <c r="F30" t="s">
        <v>20</v>
      </c>
      <c r="G30">
        <v>1</v>
      </c>
      <c r="H30">
        <v>30</v>
      </c>
      <c r="I30">
        <f t="shared" si="0"/>
        <v>30</v>
      </c>
      <c r="J30" s="4">
        <f t="shared" si="1"/>
        <v>0.44999999999999996</v>
      </c>
      <c r="K30" t="str">
        <f>IF(RetailSales[[#This Row],[Age]]&lt;30,"Young Adult",IF(RetailSales[[#This Row],[Age]]&lt;50,"Adult","Senior"))</f>
        <v>Adult</v>
      </c>
      <c r="L30" t="str">
        <f>_xlfn.CONCAT(I30,"_",RetailSales[[#This Row],[Product Category]])</f>
        <v>30_Electronics</v>
      </c>
    </row>
    <row r="31" spans="1:22">
      <c r="A31">
        <v>30</v>
      </c>
      <c r="B31">
        <v>45228</v>
      </c>
      <c r="C31" t="s">
        <v>58</v>
      </c>
      <c r="D31" t="s">
        <v>17</v>
      </c>
      <c r="E31">
        <v>39</v>
      </c>
      <c r="F31" t="s">
        <v>14</v>
      </c>
      <c r="G31">
        <v>3</v>
      </c>
      <c r="H31">
        <v>300</v>
      </c>
      <c r="I31">
        <f t="shared" si="0"/>
        <v>900</v>
      </c>
      <c r="J31" s="4">
        <f t="shared" si="1"/>
        <v>13.5</v>
      </c>
      <c r="K31" t="str">
        <f>IF(RetailSales[[#This Row],[Age]]&lt;30,"Young Adult",IF(RetailSales[[#This Row],[Age]]&lt;50,"Adult","Senior"))</f>
        <v>Adult</v>
      </c>
      <c r="L31" t="str">
        <f>_xlfn.CONCAT(I31,"_",RetailSales[[#This Row],[Product Category]])</f>
        <v>900_Beauty</v>
      </c>
    </row>
    <row r="32" spans="1:22">
      <c r="A32">
        <v>31</v>
      </c>
      <c r="B32">
        <v>45069</v>
      </c>
      <c r="C32" t="s">
        <v>59</v>
      </c>
      <c r="D32" t="s">
        <v>13</v>
      </c>
      <c r="E32">
        <v>44</v>
      </c>
      <c r="F32" t="s">
        <v>20</v>
      </c>
      <c r="G32">
        <v>4</v>
      </c>
      <c r="H32">
        <v>300</v>
      </c>
      <c r="I32">
        <f t="shared" si="0"/>
        <v>1200</v>
      </c>
      <c r="J32" s="4">
        <f t="shared" si="1"/>
        <v>18</v>
      </c>
      <c r="K32" t="str">
        <f>IF(RetailSales[[#This Row],[Age]]&lt;30,"Young Adult",IF(RetailSales[[#This Row],[Age]]&lt;50,"Adult","Senior"))</f>
        <v>Adult</v>
      </c>
      <c r="L32" t="str">
        <f>_xlfn.CONCAT(I32,"_",RetailSales[[#This Row],[Product Category]])</f>
        <v>1200_Electronics</v>
      </c>
    </row>
    <row r="33" spans="1:30">
      <c r="A33">
        <v>32</v>
      </c>
      <c r="B33">
        <v>44930</v>
      </c>
      <c r="C33" t="s">
        <v>60</v>
      </c>
      <c r="D33" t="s">
        <v>13</v>
      </c>
      <c r="E33">
        <v>30</v>
      </c>
      <c r="F33" t="s">
        <v>14</v>
      </c>
      <c r="G33">
        <v>3</v>
      </c>
      <c r="H33">
        <v>30</v>
      </c>
      <c r="I33">
        <f t="shared" si="0"/>
        <v>90</v>
      </c>
      <c r="J33" s="4">
        <f t="shared" si="1"/>
        <v>1.3499999999999999</v>
      </c>
      <c r="K33" t="str">
        <f>IF(RetailSales[[#This Row],[Age]]&lt;30,"Young Adult",IF(RetailSales[[#This Row],[Age]]&lt;50,"Adult","Senior"))</f>
        <v>Adult</v>
      </c>
      <c r="L33" t="str">
        <f>_xlfn.CONCAT(I33,"_",RetailSales[[#This Row],[Product Category]])</f>
        <v>90_Beauty</v>
      </c>
    </row>
    <row r="34" spans="1:30">
      <c r="A34">
        <v>33</v>
      </c>
      <c r="B34">
        <v>45008</v>
      </c>
      <c r="C34" t="s">
        <v>61</v>
      </c>
      <c r="D34" t="s">
        <v>17</v>
      </c>
      <c r="E34">
        <v>50</v>
      </c>
      <c r="F34" t="s">
        <v>20</v>
      </c>
      <c r="G34">
        <v>2</v>
      </c>
      <c r="H34">
        <v>50</v>
      </c>
      <c r="I34">
        <f t="shared" si="0"/>
        <v>100</v>
      </c>
      <c r="J34" s="4">
        <f t="shared" si="1"/>
        <v>1.5</v>
      </c>
      <c r="K34" t="str">
        <f>IF(RetailSales[[#This Row],[Age]]&lt;30,"Young Adult",IF(RetailSales[[#This Row],[Age]]&lt;50,"Adult","Senior"))</f>
        <v>Senior</v>
      </c>
      <c r="L34" t="str">
        <f>_xlfn.CONCAT(I34,"_",RetailSales[[#This Row],[Product Category]])</f>
        <v>100_Electronics</v>
      </c>
    </row>
    <row r="35" spans="1:30">
      <c r="A35">
        <v>34</v>
      </c>
      <c r="B35">
        <v>45284</v>
      </c>
      <c r="C35" t="s">
        <v>62</v>
      </c>
      <c r="D35" t="s">
        <v>17</v>
      </c>
      <c r="E35">
        <v>51</v>
      </c>
      <c r="F35" t="s">
        <v>18</v>
      </c>
      <c r="G35">
        <v>3</v>
      </c>
      <c r="H35">
        <v>50</v>
      </c>
      <c r="I35">
        <f t="shared" si="0"/>
        <v>150</v>
      </c>
      <c r="J35" s="4">
        <f t="shared" si="1"/>
        <v>2.25</v>
      </c>
      <c r="K35" t="str">
        <f>IF(RetailSales[[#This Row],[Age]]&lt;30,"Young Adult",IF(RetailSales[[#This Row],[Age]]&lt;50,"Adult","Senior"))</f>
        <v>Senior</v>
      </c>
      <c r="L35" t="str">
        <f>_xlfn.CONCAT(I35,"_",RetailSales[[#This Row],[Product Category]])</f>
        <v>150_Clothing</v>
      </c>
    </row>
    <row r="36" spans="1:30">
      <c r="A36">
        <v>35</v>
      </c>
      <c r="B36">
        <v>45143</v>
      </c>
      <c r="C36" t="s">
        <v>63</v>
      </c>
      <c r="D36" t="s">
        <v>17</v>
      </c>
      <c r="E36">
        <v>58</v>
      </c>
      <c r="F36" t="s">
        <v>14</v>
      </c>
      <c r="G36">
        <v>3</v>
      </c>
      <c r="H36">
        <v>300</v>
      </c>
      <c r="I36">
        <f t="shared" si="0"/>
        <v>900</v>
      </c>
      <c r="J36" s="4">
        <f t="shared" si="1"/>
        <v>13.5</v>
      </c>
      <c r="K36" t="str">
        <f>IF(RetailSales[[#This Row],[Age]]&lt;30,"Young Adult",IF(RetailSales[[#This Row],[Age]]&lt;50,"Adult","Senior"))</f>
        <v>Senior</v>
      </c>
      <c r="L36" t="str">
        <f>_xlfn.CONCAT(I36,"_",RetailSales[[#This Row],[Product Category]])</f>
        <v>900_Beauty</v>
      </c>
    </row>
    <row r="37" spans="1:30">
      <c r="A37">
        <v>36</v>
      </c>
      <c r="B37">
        <v>45101</v>
      </c>
      <c r="C37" t="s">
        <v>64</v>
      </c>
      <c r="D37" t="s">
        <v>13</v>
      </c>
      <c r="E37">
        <v>52</v>
      </c>
      <c r="F37" t="s">
        <v>14</v>
      </c>
      <c r="G37">
        <v>3</v>
      </c>
      <c r="H37">
        <v>300</v>
      </c>
      <c r="I37">
        <f t="shared" si="0"/>
        <v>900</v>
      </c>
      <c r="J37" s="4">
        <f t="shared" si="1"/>
        <v>13.5</v>
      </c>
      <c r="K37" t="str">
        <f>IF(RetailSales[[#This Row],[Age]]&lt;30,"Young Adult",IF(RetailSales[[#This Row],[Age]]&lt;50,"Adult","Senior"))</f>
        <v>Senior</v>
      </c>
      <c r="L37" t="str">
        <f>_xlfn.CONCAT(I37,"_",RetailSales[[#This Row],[Product Category]])</f>
        <v>900_Beauty</v>
      </c>
    </row>
    <row r="38" spans="1:30">
      <c r="A38">
        <v>37</v>
      </c>
      <c r="B38">
        <v>45069</v>
      </c>
      <c r="C38" t="s">
        <v>65</v>
      </c>
      <c r="D38" t="s">
        <v>17</v>
      </c>
      <c r="E38">
        <v>18</v>
      </c>
      <c r="F38" t="s">
        <v>14</v>
      </c>
      <c r="G38">
        <v>3</v>
      </c>
      <c r="H38">
        <v>25</v>
      </c>
      <c r="I38">
        <f t="shared" si="0"/>
        <v>75</v>
      </c>
      <c r="J38" s="4">
        <f t="shared" si="1"/>
        <v>1.125</v>
      </c>
      <c r="K38" t="str">
        <f>IF(RetailSales[[#This Row],[Age]]&lt;30,"Young Adult",IF(RetailSales[[#This Row],[Age]]&lt;50,"Adult","Senior"))</f>
        <v>Young Adult</v>
      </c>
      <c r="L38" t="str">
        <f>_xlfn.CONCAT(I38,"_",RetailSales[[#This Row],[Product Category]])</f>
        <v>75_Beauty</v>
      </c>
      <c r="U38" s="3"/>
      <c r="X38" s="3"/>
      <c r="AA38" s="3"/>
      <c r="AD38" s="3"/>
    </row>
    <row r="39" spans="1:30">
      <c r="A39">
        <v>38</v>
      </c>
      <c r="B39">
        <v>45006</v>
      </c>
      <c r="C39" t="s">
        <v>66</v>
      </c>
      <c r="D39" t="s">
        <v>13</v>
      </c>
      <c r="E39">
        <v>38</v>
      </c>
      <c r="F39" t="s">
        <v>14</v>
      </c>
      <c r="G39">
        <v>4</v>
      </c>
      <c r="H39">
        <v>50</v>
      </c>
      <c r="I39">
        <f t="shared" si="0"/>
        <v>200</v>
      </c>
      <c r="J39" s="4">
        <f t="shared" si="1"/>
        <v>3</v>
      </c>
      <c r="K39" t="str">
        <f>IF(RetailSales[[#This Row],[Age]]&lt;30,"Young Adult",IF(RetailSales[[#This Row],[Age]]&lt;50,"Adult","Senior"))</f>
        <v>Adult</v>
      </c>
      <c r="L39" t="str">
        <f>_xlfn.CONCAT(I39,"_",RetailSales[[#This Row],[Product Category]])</f>
        <v>200_Beauty</v>
      </c>
    </row>
    <row r="40" spans="1:30">
      <c r="A40">
        <v>39</v>
      </c>
      <c r="B40">
        <v>45037</v>
      </c>
      <c r="C40" t="s">
        <v>67</v>
      </c>
      <c r="D40" t="s">
        <v>13</v>
      </c>
      <c r="E40">
        <v>23</v>
      </c>
      <c r="F40" t="s">
        <v>18</v>
      </c>
      <c r="G40">
        <v>4</v>
      </c>
      <c r="H40">
        <v>30</v>
      </c>
      <c r="I40">
        <f t="shared" si="0"/>
        <v>120</v>
      </c>
      <c r="J40" s="4">
        <f t="shared" si="1"/>
        <v>1.7999999999999998</v>
      </c>
      <c r="K40" t="str">
        <f>IF(RetailSales[[#This Row],[Age]]&lt;30,"Young Adult",IF(RetailSales[[#This Row],[Age]]&lt;50,"Adult","Senior"))</f>
        <v>Young Adult</v>
      </c>
      <c r="L40" t="str">
        <f>_xlfn.CONCAT(I40,"_",RetailSales[[#This Row],[Product Category]])</f>
        <v>120_Clothing</v>
      </c>
    </row>
    <row r="41" spans="1:30">
      <c r="A41">
        <v>40</v>
      </c>
      <c r="B41">
        <v>45099</v>
      </c>
      <c r="C41" t="s">
        <v>68</v>
      </c>
      <c r="D41" t="s">
        <v>13</v>
      </c>
      <c r="E41">
        <v>45</v>
      </c>
      <c r="F41" t="s">
        <v>14</v>
      </c>
      <c r="G41">
        <v>1</v>
      </c>
      <c r="H41">
        <v>50</v>
      </c>
      <c r="I41">
        <f t="shared" si="0"/>
        <v>50</v>
      </c>
      <c r="J41" s="4">
        <f t="shared" si="1"/>
        <v>0.75</v>
      </c>
      <c r="K41" t="str">
        <f>IF(RetailSales[[#This Row],[Age]]&lt;30,"Young Adult",IF(RetailSales[[#This Row],[Age]]&lt;50,"Adult","Senior"))</f>
        <v>Adult</v>
      </c>
      <c r="L41" t="str">
        <f>_xlfn.CONCAT(I41,"_",RetailSales[[#This Row],[Product Category]])</f>
        <v>50_Beauty</v>
      </c>
    </row>
    <row r="42" spans="1:30">
      <c r="A42">
        <v>41</v>
      </c>
      <c r="B42">
        <v>44979</v>
      </c>
      <c r="C42" t="s">
        <v>69</v>
      </c>
      <c r="D42" t="s">
        <v>13</v>
      </c>
      <c r="E42">
        <v>34</v>
      </c>
      <c r="F42" t="s">
        <v>18</v>
      </c>
      <c r="G42">
        <v>2</v>
      </c>
      <c r="H42">
        <v>25</v>
      </c>
      <c r="I42">
        <f t="shared" si="0"/>
        <v>50</v>
      </c>
      <c r="J42" s="4">
        <f t="shared" si="1"/>
        <v>0.75</v>
      </c>
      <c r="K42" t="str">
        <f>IF(RetailSales[[#This Row],[Age]]&lt;30,"Young Adult",IF(RetailSales[[#This Row],[Age]]&lt;50,"Adult","Senior"))</f>
        <v>Adult</v>
      </c>
      <c r="L42" t="str">
        <f>_xlfn.CONCAT(I42,"_",RetailSales[[#This Row],[Product Category]])</f>
        <v>50_Clothing</v>
      </c>
    </row>
    <row r="43" spans="1:30">
      <c r="A43">
        <v>42</v>
      </c>
      <c r="B43">
        <v>44974</v>
      </c>
      <c r="C43" t="s">
        <v>70</v>
      </c>
      <c r="D43" t="s">
        <v>13</v>
      </c>
      <c r="E43">
        <v>22</v>
      </c>
      <c r="F43" t="s">
        <v>18</v>
      </c>
      <c r="G43">
        <v>3</v>
      </c>
      <c r="H43">
        <v>300</v>
      </c>
      <c r="I43">
        <f t="shared" si="0"/>
        <v>900</v>
      </c>
      <c r="J43" s="4">
        <f t="shared" si="1"/>
        <v>13.5</v>
      </c>
      <c r="K43" t="str">
        <f>IF(RetailSales[[#This Row],[Age]]&lt;30,"Young Adult",IF(RetailSales[[#This Row],[Age]]&lt;50,"Adult","Senior"))</f>
        <v>Young Adult</v>
      </c>
      <c r="L43" t="str">
        <f>_xlfn.CONCAT(I43,"_",RetailSales[[#This Row],[Product Category]])</f>
        <v>900_Clothing</v>
      </c>
    </row>
    <row r="44" spans="1:30">
      <c r="A44">
        <v>43</v>
      </c>
      <c r="B44">
        <v>45121</v>
      </c>
      <c r="C44" t="s">
        <v>71</v>
      </c>
      <c r="D44" t="s">
        <v>17</v>
      </c>
      <c r="E44">
        <v>48</v>
      </c>
      <c r="F44" t="s">
        <v>18</v>
      </c>
      <c r="G44">
        <v>1</v>
      </c>
      <c r="H44">
        <v>300</v>
      </c>
      <c r="I44">
        <f t="shared" si="0"/>
        <v>300</v>
      </c>
      <c r="J44" s="4">
        <f t="shared" si="1"/>
        <v>4.5</v>
      </c>
      <c r="K44" t="str">
        <f>IF(RetailSales[[#This Row],[Age]]&lt;30,"Young Adult",IF(RetailSales[[#This Row],[Age]]&lt;50,"Adult","Senior"))</f>
        <v>Adult</v>
      </c>
      <c r="L44" t="str">
        <f>_xlfn.CONCAT(I44,"_",RetailSales[[#This Row],[Product Category]])</f>
        <v>300_Clothing</v>
      </c>
    </row>
    <row r="45" spans="1:30">
      <c r="A45">
        <v>44</v>
      </c>
      <c r="B45">
        <v>44976</v>
      </c>
      <c r="C45" t="s">
        <v>72</v>
      </c>
      <c r="D45" t="s">
        <v>17</v>
      </c>
      <c r="E45">
        <v>22</v>
      </c>
      <c r="F45" t="s">
        <v>18</v>
      </c>
      <c r="G45">
        <v>1</v>
      </c>
      <c r="H45">
        <v>25</v>
      </c>
      <c r="I45">
        <f t="shared" si="0"/>
        <v>25</v>
      </c>
      <c r="J45" s="4">
        <f t="shared" si="1"/>
        <v>0.375</v>
      </c>
      <c r="K45" t="str">
        <f>IF(RetailSales[[#This Row],[Age]]&lt;30,"Young Adult",IF(RetailSales[[#This Row],[Age]]&lt;50,"Adult","Senior"))</f>
        <v>Young Adult</v>
      </c>
      <c r="L45" t="str">
        <f>_xlfn.CONCAT(I45,"_",RetailSales[[#This Row],[Product Category]])</f>
        <v>25_Clothing</v>
      </c>
    </row>
    <row r="46" spans="1:30">
      <c r="A46">
        <v>45</v>
      </c>
      <c r="B46">
        <v>45110</v>
      </c>
      <c r="C46" t="s">
        <v>73</v>
      </c>
      <c r="D46" t="s">
        <v>17</v>
      </c>
      <c r="E46">
        <v>55</v>
      </c>
      <c r="F46" t="s">
        <v>20</v>
      </c>
      <c r="G46">
        <v>1</v>
      </c>
      <c r="H46">
        <v>30</v>
      </c>
      <c r="I46">
        <f t="shared" si="0"/>
        <v>30</v>
      </c>
      <c r="J46" s="4">
        <f t="shared" si="1"/>
        <v>0.44999999999999996</v>
      </c>
      <c r="K46" t="str">
        <f>IF(RetailSales[[#This Row],[Age]]&lt;30,"Young Adult",IF(RetailSales[[#This Row],[Age]]&lt;50,"Adult","Senior"))</f>
        <v>Senior</v>
      </c>
      <c r="L46" t="str">
        <f>_xlfn.CONCAT(I46,"_",RetailSales[[#This Row],[Product Category]])</f>
        <v>30_Electronics</v>
      </c>
    </row>
    <row r="47" spans="1:30">
      <c r="A47">
        <v>46</v>
      </c>
      <c r="B47">
        <v>45103</v>
      </c>
      <c r="C47" t="s">
        <v>74</v>
      </c>
      <c r="D47" t="s">
        <v>17</v>
      </c>
      <c r="E47">
        <v>20</v>
      </c>
      <c r="F47" t="s">
        <v>20</v>
      </c>
      <c r="G47">
        <v>4</v>
      </c>
      <c r="H47">
        <v>300</v>
      </c>
      <c r="I47">
        <f t="shared" si="0"/>
        <v>1200</v>
      </c>
      <c r="J47" s="4">
        <f t="shared" si="1"/>
        <v>18</v>
      </c>
      <c r="K47" t="str">
        <f>IF(RetailSales[[#This Row],[Age]]&lt;30,"Young Adult",IF(RetailSales[[#This Row],[Age]]&lt;50,"Adult","Senior"))</f>
        <v>Young Adult</v>
      </c>
      <c r="L47" t="str">
        <f>_xlfn.CONCAT(I47,"_",RetailSales[[#This Row],[Product Category]])</f>
        <v>1200_Electronics</v>
      </c>
    </row>
    <row r="48" spans="1:30">
      <c r="A48">
        <v>47</v>
      </c>
      <c r="B48">
        <v>45236</v>
      </c>
      <c r="C48" t="s">
        <v>75</v>
      </c>
      <c r="D48" t="s">
        <v>17</v>
      </c>
      <c r="E48">
        <v>40</v>
      </c>
      <c r="F48" t="s">
        <v>14</v>
      </c>
      <c r="G48">
        <v>3</v>
      </c>
      <c r="H48">
        <v>500</v>
      </c>
      <c r="I48">
        <f t="shared" si="0"/>
        <v>1500</v>
      </c>
      <c r="J48" s="4">
        <f t="shared" si="1"/>
        <v>22.5</v>
      </c>
      <c r="K48" t="str">
        <f>IF(RetailSales[[#This Row],[Age]]&lt;30,"Young Adult",IF(RetailSales[[#This Row],[Age]]&lt;50,"Adult","Senior"))</f>
        <v>Adult</v>
      </c>
      <c r="L48" t="str">
        <f>_xlfn.CONCAT(I48,"_",RetailSales[[#This Row],[Product Category]])</f>
        <v>1500_Beauty</v>
      </c>
    </row>
    <row r="49" spans="1:12">
      <c r="A49">
        <v>48</v>
      </c>
      <c r="B49">
        <v>45062</v>
      </c>
      <c r="C49" t="s">
        <v>76</v>
      </c>
      <c r="D49" t="s">
        <v>13</v>
      </c>
      <c r="E49">
        <v>54</v>
      </c>
      <c r="F49" t="s">
        <v>20</v>
      </c>
      <c r="G49">
        <v>3</v>
      </c>
      <c r="H49">
        <v>300</v>
      </c>
      <c r="I49">
        <f t="shared" si="0"/>
        <v>900</v>
      </c>
      <c r="J49" s="4">
        <f t="shared" si="1"/>
        <v>13.5</v>
      </c>
      <c r="K49" t="str">
        <f>IF(RetailSales[[#This Row],[Age]]&lt;30,"Young Adult",IF(RetailSales[[#This Row],[Age]]&lt;50,"Adult","Senior"))</f>
        <v>Senior</v>
      </c>
      <c r="L49" t="str">
        <f>_xlfn.CONCAT(I49,"_",RetailSales[[#This Row],[Product Category]])</f>
        <v>900_Electronics</v>
      </c>
    </row>
    <row r="50" spans="1:12">
      <c r="A50">
        <v>49</v>
      </c>
      <c r="B50">
        <v>44949</v>
      </c>
      <c r="C50" t="s">
        <v>77</v>
      </c>
      <c r="D50" t="s">
        <v>17</v>
      </c>
      <c r="E50">
        <v>54</v>
      </c>
      <c r="F50" t="s">
        <v>20</v>
      </c>
      <c r="G50">
        <v>2</v>
      </c>
      <c r="H50">
        <v>500</v>
      </c>
      <c r="I50">
        <f t="shared" si="0"/>
        <v>1000</v>
      </c>
      <c r="J50" s="4">
        <f t="shared" si="1"/>
        <v>15</v>
      </c>
      <c r="K50" t="str">
        <f>IF(RetailSales[[#This Row],[Age]]&lt;30,"Young Adult",IF(RetailSales[[#This Row],[Age]]&lt;50,"Adult","Senior"))</f>
        <v>Senior</v>
      </c>
      <c r="L50" t="str">
        <f>_xlfn.CONCAT(I50,"_",RetailSales[[#This Row],[Product Category]])</f>
        <v>1000_Electronics</v>
      </c>
    </row>
    <row r="51" spans="1:12">
      <c r="A51">
        <v>50</v>
      </c>
      <c r="B51">
        <v>45162</v>
      </c>
      <c r="C51" t="s">
        <v>78</v>
      </c>
      <c r="D51" t="s">
        <v>17</v>
      </c>
      <c r="E51">
        <v>27</v>
      </c>
      <c r="F51" t="s">
        <v>14</v>
      </c>
      <c r="G51">
        <v>3</v>
      </c>
      <c r="H51">
        <v>25</v>
      </c>
      <c r="I51">
        <f t="shared" si="0"/>
        <v>75</v>
      </c>
      <c r="J51" s="4">
        <f t="shared" si="1"/>
        <v>1.125</v>
      </c>
      <c r="K51" t="str">
        <f>IF(RetailSales[[#This Row],[Age]]&lt;30,"Young Adult",IF(RetailSales[[#This Row],[Age]]&lt;50,"Adult","Senior"))</f>
        <v>Young Adult</v>
      </c>
      <c r="L51" t="str">
        <f>_xlfn.CONCAT(I51,"_",RetailSales[[#This Row],[Product Category]])</f>
        <v>75_Beauty</v>
      </c>
    </row>
    <row r="52" spans="1:12">
      <c r="A52">
        <v>51</v>
      </c>
      <c r="B52">
        <v>45201</v>
      </c>
      <c r="C52" t="s">
        <v>79</v>
      </c>
      <c r="D52" t="s">
        <v>13</v>
      </c>
      <c r="E52">
        <v>27</v>
      </c>
      <c r="F52" t="s">
        <v>14</v>
      </c>
      <c r="G52">
        <v>3</v>
      </c>
      <c r="H52">
        <v>25</v>
      </c>
      <c r="I52">
        <f t="shared" si="0"/>
        <v>75</v>
      </c>
      <c r="J52" s="4">
        <f t="shared" si="1"/>
        <v>1.125</v>
      </c>
      <c r="K52" t="str">
        <f>IF(RetailSales[[#This Row],[Age]]&lt;30,"Young Adult",IF(RetailSales[[#This Row],[Age]]&lt;50,"Adult","Senior"))</f>
        <v>Young Adult</v>
      </c>
      <c r="L52" t="str">
        <f>_xlfn.CONCAT(I52,"_",RetailSales[[#This Row],[Product Category]])</f>
        <v>75_Beauty</v>
      </c>
    </row>
    <row r="53" spans="1:12">
      <c r="A53">
        <v>52</v>
      </c>
      <c r="B53">
        <v>44990</v>
      </c>
      <c r="C53" t="s">
        <v>80</v>
      </c>
      <c r="D53" t="s">
        <v>17</v>
      </c>
      <c r="E53">
        <v>36</v>
      </c>
      <c r="F53" t="s">
        <v>14</v>
      </c>
      <c r="G53">
        <v>1</v>
      </c>
      <c r="H53">
        <v>300</v>
      </c>
      <c r="I53">
        <f t="shared" si="0"/>
        <v>300</v>
      </c>
      <c r="J53" s="4">
        <f t="shared" si="1"/>
        <v>4.5</v>
      </c>
      <c r="K53" t="str">
        <f>IF(RetailSales[[#This Row],[Age]]&lt;30,"Young Adult",IF(RetailSales[[#This Row],[Age]]&lt;50,"Adult","Senior"))</f>
        <v>Adult</v>
      </c>
      <c r="L53" t="str">
        <f>_xlfn.CONCAT(I53,"_",RetailSales[[#This Row],[Product Category]])</f>
        <v>300_Beauty</v>
      </c>
    </row>
    <row r="54" spans="1:12">
      <c r="A54">
        <v>53</v>
      </c>
      <c r="B54">
        <v>45120</v>
      </c>
      <c r="C54" t="s">
        <v>81</v>
      </c>
      <c r="D54" t="s">
        <v>13</v>
      </c>
      <c r="E54">
        <v>34</v>
      </c>
      <c r="F54" t="s">
        <v>20</v>
      </c>
      <c r="G54">
        <v>2</v>
      </c>
      <c r="H54">
        <v>50</v>
      </c>
      <c r="I54">
        <f t="shared" si="0"/>
        <v>100</v>
      </c>
      <c r="J54" s="4">
        <f t="shared" si="1"/>
        <v>1.5</v>
      </c>
      <c r="K54" t="str">
        <f>IF(RetailSales[[#This Row],[Age]]&lt;30,"Young Adult",IF(RetailSales[[#This Row],[Age]]&lt;50,"Adult","Senior"))</f>
        <v>Adult</v>
      </c>
      <c r="L54" t="str">
        <f>_xlfn.CONCAT(I54,"_",RetailSales[[#This Row],[Product Category]])</f>
        <v>100_Electronics</v>
      </c>
    </row>
    <row r="55" spans="1:12">
      <c r="A55">
        <v>54</v>
      </c>
      <c r="B55">
        <v>44967</v>
      </c>
      <c r="C55" t="s">
        <v>82</v>
      </c>
      <c r="D55" t="s">
        <v>17</v>
      </c>
      <c r="E55">
        <v>38</v>
      </c>
      <c r="F55" t="s">
        <v>20</v>
      </c>
      <c r="G55">
        <v>3</v>
      </c>
      <c r="H55">
        <v>500</v>
      </c>
      <c r="I55">
        <f t="shared" si="0"/>
        <v>1500</v>
      </c>
      <c r="J55" s="4">
        <f t="shared" si="1"/>
        <v>22.5</v>
      </c>
      <c r="K55" t="str">
        <f>IF(RetailSales[[#This Row],[Age]]&lt;30,"Young Adult",IF(RetailSales[[#This Row],[Age]]&lt;50,"Adult","Senior"))</f>
        <v>Adult</v>
      </c>
      <c r="L55" t="str">
        <f>_xlfn.CONCAT(I55,"_",RetailSales[[#This Row],[Product Category]])</f>
        <v>1500_Electronics</v>
      </c>
    </row>
    <row r="56" spans="1:12">
      <c r="A56">
        <v>55</v>
      </c>
      <c r="B56">
        <v>45209</v>
      </c>
      <c r="C56" t="s">
        <v>83</v>
      </c>
      <c r="D56" t="s">
        <v>13</v>
      </c>
      <c r="E56">
        <v>31</v>
      </c>
      <c r="F56" t="s">
        <v>14</v>
      </c>
      <c r="G56">
        <v>4</v>
      </c>
      <c r="H56">
        <v>30</v>
      </c>
      <c r="I56">
        <f t="shared" si="0"/>
        <v>120</v>
      </c>
      <c r="J56" s="4">
        <f t="shared" si="1"/>
        <v>1.7999999999999998</v>
      </c>
      <c r="K56" t="str">
        <f>IF(RetailSales[[#This Row],[Age]]&lt;30,"Young Adult",IF(RetailSales[[#This Row],[Age]]&lt;50,"Adult","Senior"))</f>
        <v>Adult</v>
      </c>
      <c r="L56" t="str">
        <f>_xlfn.CONCAT(I56,"_",RetailSales[[#This Row],[Product Category]])</f>
        <v>120_Beauty</v>
      </c>
    </row>
    <row r="57" spans="1:12">
      <c r="A57">
        <v>56</v>
      </c>
      <c r="B57">
        <v>45077</v>
      </c>
      <c r="C57" t="s">
        <v>84</v>
      </c>
      <c r="D57" t="s">
        <v>17</v>
      </c>
      <c r="E57">
        <v>26</v>
      </c>
      <c r="F57" t="s">
        <v>18</v>
      </c>
      <c r="G57">
        <v>3</v>
      </c>
      <c r="H57">
        <v>300</v>
      </c>
      <c r="I57">
        <f t="shared" si="0"/>
        <v>900</v>
      </c>
      <c r="J57" s="4">
        <f t="shared" si="1"/>
        <v>13.5</v>
      </c>
      <c r="K57" t="str">
        <f>IF(RetailSales[[#This Row],[Age]]&lt;30,"Young Adult",IF(RetailSales[[#This Row],[Age]]&lt;50,"Adult","Senior"))</f>
        <v>Young Adult</v>
      </c>
      <c r="L57" t="str">
        <f>_xlfn.CONCAT(I57,"_",RetailSales[[#This Row],[Product Category]])</f>
        <v>900_Clothing</v>
      </c>
    </row>
    <row r="58" spans="1:12">
      <c r="A58">
        <v>57</v>
      </c>
      <c r="B58">
        <v>45248</v>
      </c>
      <c r="C58" t="s">
        <v>85</v>
      </c>
      <c r="D58" t="s">
        <v>17</v>
      </c>
      <c r="E58">
        <v>63</v>
      </c>
      <c r="F58" t="s">
        <v>14</v>
      </c>
      <c r="G58">
        <v>1</v>
      </c>
      <c r="H58">
        <v>30</v>
      </c>
      <c r="I58">
        <f t="shared" si="0"/>
        <v>30</v>
      </c>
      <c r="J58" s="4">
        <f t="shared" si="1"/>
        <v>0.44999999999999996</v>
      </c>
      <c r="K58" t="str">
        <f>IF(RetailSales[[#This Row],[Age]]&lt;30,"Young Adult",IF(RetailSales[[#This Row],[Age]]&lt;50,"Adult","Senior"))</f>
        <v>Senior</v>
      </c>
      <c r="L58" t="str">
        <f>_xlfn.CONCAT(I58,"_",RetailSales[[#This Row],[Product Category]])</f>
        <v>30_Beauty</v>
      </c>
    </row>
    <row r="59" spans="1:12">
      <c r="A59">
        <v>58</v>
      </c>
      <c r="B59">
        <v>45243</v>
      </c>
      <c r="C59" t="s">
        <v>86</v>
      </c>
      <c r="D59" t="s">
        <v>13</v>
      </c>
      <c r="E59">
        <v>18</v>
      </c>
      <c r="F59" t="s">
        <v>18</v>
      </c>
      <c r="G59">
        <v>4</v>
      </c>
      <c r="H59">
        <v>300</v>
      </c>
      <c r="I59">
        <f t="shared" si="0"/>
        <v>1200</v>
      </c>
      <c r="J59" s="4">
        <f t="shared" si="1"/>
        <v>18</v>
      </c>
      <c r="K59" t="str">
        <f>IF(RetailSales[[#This Row],[Age]]&lt;30,"Young Adult",IF(RetailSales[[#This Row],[Age]]&lt;50,"Adult","Senior"))</f>
        <v>Young Adult</v>
      </c>
      <c r="L59" t="str">
        <f>_xlfn.CONCAT(I59,"_",RetailSales[[#This Row],[Product Category]])</f>
        <v>1200_Clothing</v>
      </c>
    </row>
    <row r="60" spans="1:12">
      <c r="A60">
        <v>59</v>
      </c>
      <c r="B60">
        <v>45112</v>
      </c>
      <c r="C60" t="s">
        <v>87</v>
      </c>
      <c r="D60" t="s">
        <v>13</v>
      </c>
      <c r="E60">
        <v>62</v>
      </c>
      <c r="F60" t="s">
        <v>18</v>
      </c>
      <c r="G60">
        <v>1</v>
      </c>
      <c r="H60">
        <v>50</v>
      </c>
      <c r="I60">
        <f t="shared" si="0"/>
        <v>50</v>
      </c>
      <c r="J60" s="4">
        <f t="shared" si="1"/>
        <v>0.75</v>
      </c>
      <c r="K60" t="str">
        <f>IF(RetailSales[[#This Row],[Age]]&lt;30,"Young Adult",IF(RetailSales[[#This Row],[Age]]&lt;50,"Adult","Senior"))</f>
        <v>Senior</v>
      </c>
      <c r="L60" t="str">
        <f>_xlfn.CONCAT(I60,"_",RetailSales[[#This Row],[Product Category]])</f>
        <v>50_Clothing</v>
      </c>
    </row>
    <row r="61" spans="1:12">
      <c r="A61">
        <v>60</v>
      </c>
      <c r="B61">
        <v>45222</v>
      </c>
      <c r="C61" t="s">
        <v>88</v>
      </c>
      <c r="D61" t="s">
        <v>13</v>
      </c>
      <c r="E61">
        <v>30</v>
      </c>
      <c r="F61" t="s">
        <v>14</v>
      </c>
      <c r="G61">
        <v>3</v>
      </c>
      <c r="H61">
        <v>50</v>
      </c>
      <c r="I61">
        <f t="shared" si="0"/>
        <v>150</v>
      </c>
      <c r="J61" s="4">
        <f t="shared" si="1"/>
        <v>2.25</v>
      </c>
      <c r="K61" t="str">
        <f>IF(RetailSales[[#This Row],[Age]]&lt;30,"Young Adult",IF(RetailSales[[#This Row],[Age]]&lt;50,"Adult","Senior"))</f>
        <v>Adult</v>
      </c>
      <c r="L61" t="str">
        <f>_xlfn.CONCAT(I61,"_",RetailSales[[#This Row],[Product Category]])</f>
        <v>150_Beauty</v>
      </c>
    </row>
    <row r="62" spans="1:12">
      <c r="A62">
        <v>61</v>
      </c>
      <c r="B62">
        <v>45025</v>
      </c>
      <c r="C62" t="s">
        <v>89</v>
      </c>
      <c r="D62" t="s">
        <v>13</v>
      </c>
      <c r="E62">
        <v>21</v>
      </c>
      <c r="F62" t="s">
        <v>14</v>
      </c>
      <c r="G62">
        <v>4</v>
      </c>
      <c r="H62">
        <v>50</v>
      </c>
      <c r="I62">
        <f t="shared" si="0"/>
        <v>200</v>
      </c>
      <c r="J62" s="4">
        <f t="shared" si="1"/>
        <v>3</v>
      </c>
      <c r="K62" t="str">
        <f>IF(RetailSales[[#This Row],[Age]]&lt;30,"Young Adult",IF(RetailSales[[#This Row],[Age]]&lt;50,"Adult","Senior"))</f>
        <v>Young Adult</v>
      </c>
      <c r="L62" t="str">
        <f>_xlfn.CONCAT(I62,"_",RetailSales[[#This Row],[Product Category]])</f>
        <v>200_Beauty</v>
      </c>
    </row>
    <row r="63" spans="1:12">
      <c r="A63">
        <v>62</v>
      </c>
      <c r="B63">
        <v>45287</v>
      </c>
      <c r="C63" t="s">
        <v>90</v>
      </c>
      <c r="D63" t="s">
        <v>13</v>
      </c>
      <c r="E63">
        <v>18</v>
      </c>
      <c r="F63" t="s">
        <v>14</v>
      </c>
      <c r="G63">
        <v>2</v>
      </c>
      <c r="H63">
        <v>50</v>
      </c>
      <c r="I63">
        <f t="shared" si="0"/>
        <v>100</v>
      </c>
      <c r="J63" s="4">
        <f t="shared" si="1"/>
        <v>1.5</v>
      </c>
      <c r="K63" t="str">
        <f>IF(RetailSales[[#This Row],[Age]]&lt;30,"Young Adult",IF(RetailSales[[#This Row],[Age]]&lt;50,"Adult","Senior"))</f>
        <v>Young Adult</v>
      </c>
      <c r="L63" t="str">
        <f>_xlfn.CONCAT(I63,"_",RetailSales[[#This Row],[Product Category]])</f>
        <v>100_Beauty</v>
      </c>
    </row>
    <row r="64" spans="1:12">
      <c r="A64">
        <v>63</v>
      </c>
      <c r="B64">
        <v>44962</v>
      </c>
      <c r="C64" t="s">
        <v>91</v>
      </c>
      <c r="D64" t="s">
        <v>13</v>
      </c>
      <c r="E64">
        <v>57</v>
      </c>
      <c r="F64" t="s">
        <v>20</v>
      </c>
      <c r="G64">
        <v>2</v>
      </c>
      <c r="H64">
        <v>25</v>
      </c>
      <c r="I64">
        <f t="shared" si="0"/>
        <v>50</v>
      </c>
      <c r="J64" s="4">
        <f t="shared" si="1"/>
        <v>0.75</v>
      </c>
      <c r="K64" t="str">
        <f>IF(RetailSales[[#This Row],[Age]]&lt;30,"Young Adult",IF(RetailSales[[#This Row],[Age]]&lt;50,"Adult","Senior"))</f>
        <v>Senior</v>
      </c>
      <c r="L64" t="str">
        <f>_xlfn.CONCAT(I64,"_",RetailSales[[#This Row],[Product Category]])</f>
        <v>50_Electronics</v>
      </c>
    </row>
    <row r="65" spans="1:12">
      <c r="A65">
        <v>64</v>
      </c>
      <c r="B65">
        <v>44950</v>
      </c>
      <c r="C65" t="s">
        <v>92</v>
      </c>
      <c r="D65" t="s">
        <v>13</v>
      </c>
      <c r="E65">
        <v>49</v>
      </c>
      <c r="F65" t="s">
        <v>18</v>
      </c>
      <c r="G65">
        <v>4</v>
      </c>
      <c r="H65">
        <v>25</v>
      </c>
      <c r="I65">
        <f t="shared" si="0"/>
        <v>100</v>
      </c>
      <c r="J65" s="4">
        <f t="shared" si="1"/>
        <v>1.5</v>
      </c>
      <c r="K65" t="str">
        <f>IF(RetailSales[[#This Row],[Age]]&lt;30,"Young Adult",IF(RetailSales[[#This Row],[Age]]&lt;50,"Adult","Senior"))</f>
        <v>Adult</v>
      </c>
      <c r="L65" t="str">
        <f>_xlfn.CONCAT(I65,"_",RetailSales[[#This Row],[Product Category]])</f>
        <v>100_Clothing</v>
      </c>
    </row>
    <row r="66" spans="1:12">
      <c r="A66">
        <v>65</v>
      </c>
      <c r="B66">
        <v>45265</v>
      </c>
      <c r="C66" t="s">
        <v>93</v>
      </c>
      <c r="D66" t="s">
        <v>13</v>
      </c>
      <c r="E66">
        <v>51</v>
      </c>
      <c r="F66" t="s">
        <v>20</v>
      </c>
      <c r="G66">
        <v>4</v>
      </c>
      <c r="H66">
        <v>500</v>
      </c>
      <c r="I66">
        <f t="shared" si="0"/>
        <v>2000</v>
      </c>
      <c r="J66" s="4">
        <f t="shared" si="1"/>
        <v>30</v>
      </c>
      <c r="K66" t="str">
        <f>IF(RetailSales[[#This Row],[Age]]&lt;30,"Young Adult",IF(RetailSales[[#This Row],[Age]]&lt;50,"Adult","Senior"))</f>
        <v>Senior</v>
      </c>
      <c r="L66" t="str">
        <f>_xlfn.CONCAT(I66,"_",RetailSales[[#This Row],[Product Category]])</f>
        <v>2000_Electronics</v>
      </c>
    </row>
    <row r="67" spans="1:12">
      <c r="A67">
        <v>66</v>
      </c>
      <c r="B67">
        <v>45043</v>
      </c>
      <c r="C67" t="s">
        <v>94</v>
      </c>
      <c r="D67" t="s">
        <v>17</v>
      </c>
      <c r="E67">
        <v>45</v>
      </c>
      <c r="F67" t="s">
        <v>20</v>
      </c>
      <c r="G67">
        <v>1</v>
      </c>
      <c r="H67">
        <v>30</v>
      </c>
      <c r="I67">
        <f t="shared" ref="I67:I130" si="2">G67*H67</f>
        <v>30</v>
      </c>
      <c r="J67" s="4">
        <f t="shared" ref="J67:J130" si="3">I67*$O$3</f>
        <v>0.44999999999999996</v>
      </c>
      <c r="K67" t="str">
        <f>IF(RetailSales[[#This Row],[Age]]&lt;30,"Young Adult",IF(RetailSales[[#This Row],[Age]]&lt;50,"Adult","Senior"))</f>
        <v>Adult</v>
      </c>
      <c r="L67" t="str">
        <f>_xlfn.CONCAT(I67,"_",RetailSales[[#This Row],[Product Category]])</f>
        <v>30_Electronics</v>
      </c>
    </row>
    <row r="68" spans="1:12">
      <c r="A68">
        <v>67</v>
      </c>
      <c r="B68">
        <v>45075</v>
      </c>
      <c r="C68" t="s">
        <v>95</v>
      </c>
      <c r="D68" t="s">
        <v>17</v>
      </c>
      <c r="E68">
        <v>48</v>
      </c>
      <c r="F68" t="s">
        <v>14</v>
      </c>
      <c r="G68">
        <v>4</v>
      </c>
      <c r="H68">
        <v>300</v>
      </c>
      <c r="I68">
        <f t="shared" si="2"/>
        <v>1200</v>
      </c>
      <c r="J68" s="4">
        <f t="shared" si="3"/>
        <v>18</v>
      </c>
      <c r="K68" t="str">
        <f>IF(RetailSales[[#This Row],[Age]]&lt;30,"Young Adult",IF(RetailSales[[#This Row],[Age]]&lt;50,"Adult","Senior"))</f>
        <v>Adult</v>
      </c>
      <c r="L68" t="str">
        <f>_xlfn.CONCAT(I68,"_",RetailSales[[#This Row],[Product Category]])</f>
        <v>1200_Beauty</v>
      </c>
    </row>
    <row r="69" spans="1:12">
      <c r="A69">
        <v>68</v>
      </c>
      <c r="B69">
        <v>44967</v>
      </c>
      <c r="C69" t="s">
        <v>96</v>
      </c>
      <c r="D69" t="s">
        <v>13</v>
      </c>
      <c r="E69">
        <v>25</v>
      </c>
      <c r="F69" t="s">
        <v>20</v>
      </c>
      <c r="G69">
        <v>1</v>
      </c>
      <c r="H69">
        <v>300</v>
      </c>
      <c r="I69">
        <f t="shared" si="2"/>
        <v>300</v>
      </c>
      <c r="J69" s="4">
        <f t="shared" si="3"/>
        <v>4.5</v>
      </c>
      <c r="K69" t="str">
        <f>IF(RetailSales[[#This Row],[Age]]&lt;30,"Young Adult",IF(RetailSales[[#This Row],[Age]]&lt;50,"Adult","Senior"))</f>
        <v>Young Adult</v>
      </c>
      <c r="L69" t="str">
        <f>_xlfn.CONCAT(I69,"_",RetailSales[[#This Row],[Product Category]])</f>
        <v>300_Electronics</v>
      </c>
    </row>
    <row r="70" spans="1:12">
      <c r="A70">
        <v>69</v>
      </c>
      <c r="B70">
        <v>45046</v>
      </c>
      <c r="C70" t="s">
        <v>97</v>
      </c>
      <c r="D70" t="s">
        <v>17</v>
      </c>
      <c r="E70">
        <v>56</v>
      </c>
      <c r="F70" t="s">
        <v>14</v>
      </c>
      <c r="G70">
        <v>3</v>
      </c>
      <c r="H70">
        <v>25</v>
      </c>
      <c r="I70">
        <f t="shared" si="2"/>
        <v>75</v>
      </c>
      <c r="J70" s="4">
        <f t="shared" si="3"/>
        <v>1.125</v>
      </c>
      <c r="K70" t="str">
        <f>IF(RetailSales[[#This Row],[Age]]&lt;30,"Young Adult",IF(RetailSales[[#This Row],[Age]]&lt;50,"Adult","Senior"))</f>
        <v>Senior</v>
      </c>
      <c r="L70" t="str">
        <f>_xlfn.CONCAT(I70,"_",RetailSales[[#This Row],[Product Category]])</f>
        <v>75_Beauty</v>
      </c>
    </row>
    <row r="71" spans="1:12">
      <c r="A71">
        <v>70</v>
      </c>
      <c r="B71">
        <v>44978</v>
      </c>
      <c r="C71" t="s">
        <v>98</v>
      </c>
      <c r="D71" t="s">
        <v>17</v>
      </c>
      <c r="E71">
        <v>43</v>
      </c>
      <c r="F71" t="s">
        <v>18</v>
      </c>
      <c r="G71">
        <v>1</v>
      </c>
      <c r="H71">
        <v>300</v>
      </c>
      <c r="I71">
        <f t="shared" si="2"/>
        <v>300</v>
      </c>
      <c r="J71" s="4">
        <f t="shared" si="3"/>
        <v>4.5</v>
      </c>
      <c r="K71" t="str">
        <f>IF(RetailSales[[#This Row],[Age]]&lt;30,"Young Adult",IF(RetailSales[[#This Row],[Age]]&lt;50,"Adult","Senior"))</f>
        <v>Adult</v>
      </c>
      <c r="L71" t="str">
        <f>_xlfn.CONCAT(I71,"_",RetailSales[[#This Row],[Product Category]])</f>
        <v>300_Clothing</v>
      </c>
    </row>
    <row r="72" spans="1:12">
      <c r="A72">
        <v>71</v>
      </c>
      <c r="B72">
        <v>45121</v>
      </c>
      <c r="C72" t="s">
        <v>99</v>
      </c>
      <c r="D72" t="s">
        <v>17</v>
      </c>
      <c r="E72">
        <v>51</v>
      </c>
      <c r="F72" t="s">
        <v>14</v>
      </c>
      <c r="G72">
        <v>4</v>
      </c>
      <c r="H72">
        <v>25</v>
      </c>
      <c r="I72">
        <f t="shared" si="2"/>
        <v>100</v>
      </c>
      <c r="J72" s="4">
        <f t="shared" si="3"/>
        <v>1.5</v>
      </c>
      <c r="K72" t="str">
        <f>IF(RetailSales[[#This Row],[Age]]&lt;30,"Young Adult",IF(RetailSales[[#This Row],[Age]]&lt;50,"Adult","Senior"))</f>
        <v>Senior</v>
      </c>
      <c r="L72" t="str">
        <f>_xlfn.CONCAT(I72,"_",RetailSales[[#This Row],[Product Category]])</f>
        <v>100_Beauty</v>
      </c>
    </row>
    <row r="73" spans="1:12">
      <c r="A73">
        <v>72</v>
      </c>
      <c r="B73">
        <v>45069</v>
      </c>
      <c r="C73" t="s">
        <v>100</v>
      </c>
      <c r="D73" t="s">
        <v>17</v>
      </c>
      <c r="E73">
        <v>20</v>
      </c>
      <c r="F73" t="s">
        <v>20</v>
      </c>
      <c r="G73">
        <v>4</v>
      </c>
      <c r="H73">
        <v>500</v>
      </c>
      <c r="I73">
        <f t="shared" si="2"/>
        <v>2000</v>
      </c>
      <c r="J73" s="4">
        <f t="shared" si="3"/>
        <v>30</v>
      </c>
      <c r="K73" t="str">
        <f>IF(RetailSales[[#This Row],[Age]]&lt;30,"Young Adult",IF(RetailSales[[#This Row],[Age]]&lt;50,"Adult","Senior"))</f>
        <v>Young Adult</v>
      </c>
      <c r="L73" t="str">
        <f>_xlfn.CONCAT(I73,"_",RetailSales[[#This Row],[Product Category]])</f>
        <v>2000_Electronics</v>
      </c>
    </row>
    <row r="74" spans="1:12">
      <c r="A74">
        <v>73</v>
      </c>
      <c r="B74">
        <v>45159</v>
      </c>
      <c r="C74" t="s">
        <v>101</v>
      </c>
      <c r="D74" t="s">
        <v>13</v>
      </c>
      <c r="E74">
        <v>29</v>
      </c>
      <c r="F74" t="s">
        <v>20</v>
      </c>
      <c r="G74">
        <v>3</v>
      </c>
      <c r="H74">
        <v>30</v>
      </c>
      <c r="I74">
        <f t="shared" si="2"/>
        <v>90</v>
      </c>
      <c r="J74" s="4">
        <f t="shared" si="3"/>
        <v>1.3499999999999999</v>
      </c>
      <c r="K74" t="str">
        <f>IF(RetailSales[[#This Row],[Age]]&lt;30,"Young Adult",IF(RetailSales[[#This Row],[Age]]&lt;50,"Adult","Senior"))</f>
        <v>Young Adult</v>
      </c>
      <c r="L74" t="str">
        <f>_xlfn.CONCAT(I74,"_",RetailSales[[#This Row],[Product Category]])</f>
        <v>90_Electronics</v>
      </c>
    </row>
    <row r="75" spans="1:12">
      <c r="A75">
        <v>74</v>
      </c>
      <c r="B75">
        <v>45252</v>
      </c>
      <c r="C75" t="s">
        <v>102</v>
      </c>
      <c r="D75" t="s">
        <v>17</v>
      </c>
      <c r="E75">
        <v>18</v>
      </c>
      <c r="F75" t="s">
        <v>14</v>
      </c>
      <c r="G75">
        <v>4</v>
      </c>
      <c r="H75">
        <v>500</v>
      </c>
      <c r="I75">
        <f t="shared" si="2"/>
        <v>2000</v>
      </c>
      <c r="J75" s="4">
        <f t="shared" si="3"/>
        <v>30</v>
      </c>
      <c r="K75" t="str">
        <f>IF(RetailSales[[#This Row],[Age]]&lt;30,"Young Adult",IF(RetailSales[[#This Row],[Age]]&lt;50,"Adult","Senior"))</f>
        <v>Young Adult</v>
      </c>
      <c r="L75" t="str">
        <f>_xlfn.CONCAT(I75,"_",RetailSales[[#This Row],[Product Category]])</f>
        <v>2000_Beauty</v>
      </c>
    </row>
    <row r="76" spans="1:12">
      <c r="A76">
        <v>75</v>
      </c>
      <c r="B76">
        <v>45113</v>
      </c>
      <c r="C76" t="s">
        <v>103</v>
      </c>
      <c r="D76" t="s">
        <v>13</v>
      </c>
      <c r="E76">
        <v>61</v>
      </c>
      <c r="F76" t="s">
        <v>14</v>
      </c>
      <c r="G76">
        <v>4</v>
      </c>
      <c r="H76">
        <v>50</v>
      </c>
      <c r="I76">
        <f t="shared" si="2"/>
        <v>200</v>
      </c>
      <c r="J76" s="4">
        <f t="shared" si="3"/>
        <v>3</v>
      </c>
      <c r="K76" t="str">
        <f>IF(RetailSales[[#This Row],[Age]]&lt;30,"Young Adult",IF(RetailSales[[#This Row],[Age]]&lt;50,"Adult","Senior"))</f>
        <v>Senior</v>
      </c>
      <c r="L76" t="str">
        <f>_xlfn.CONCAT(I76,"_",RetailSales[[#This Row],[Product Category]])</f>
        <v>200_Beauty</v>
      </c>
    </row>
    <row r="77" spans="1:12">
      <c r="A77">
        <v>76</v>
      </c>
      <c r="B77">
        <v>45010</v>
      </c>
      <c r="C77" t="s">
        <v>104</v>
      </c>
      <c r="D77" t="s">
        <v>17</v>
      </c>
      <c r="E77">
        <v>22</v>
      </c>
      <c r="F77" t="s">
        <v>20</v>
      </c>
      <c r="G77">
        <v>2</v>
      </c>
      <c r="H77">
        <v>50</v>
      </c>
      <c r="I77">
        <f t="shared" si="2"/>
        <v>100</v>
      </c>
      <c r="J77" s="4">
        <f t="shared" si="3"/>
        <v>1.5</v>
      </c>
      <c r="K77" t="str">
        <f>IF(RetailSales[[#This Row],[Age]]&lt;30,"Young Adult",IF(RetailSales[[#This Row],[Age]]&lt;50,"Adult","Senior"))</f>
        <v>Young Adult</v>
      </c>
      <c r="L77" t="str">
        <f>_xlfn.CONCAT(I77,"_",RetailSales[[#This Row],[Product Category]])</f>
        <v>100_Electronics</v>
      </c>
    </row>
    <row r="78" spans="1:12">
      <c r="A78">
        <v>77</v>
      </c>
      <c r="B78">
        <v>45116</v>
      </c>
      <c r="C78" t="s">
        <v>105</v>
      </c>
      <c r="D78" t="s">
        <v>17</v>
      </c>
      <c r="E78">
        <v>47</v>
      </c>
      <c r="F78" t="s">
        <v>18</v>
      </c>
      <c r="G78">
        <v>2</v>
      </c>
      <c r="H78">
        <v>50</v>
      </c>
      <c r="I78">
        <f t="shared" si="2"/>
        <v>100</v>
      </c>
      <c r="J78" s="4">
        <f t="shared" si="3"/>
        <v>1.5</v>
      </c>
      <c r="K78" t="str">
        <f>IF(RetailSales[[#This Row],[Age]]&lt;30,"Young Adult",IF(RetailSales[[#This Row],[Age]]&lt;50,"Adult","Senior"))</f>
        <v>Adult</v>
      </c>
      <c r="L78" t="str">
        <f>_xlfn.CONCAT(I78,"_",RetailSales[[#This Row],[Product Category]])</f>
        <v>100_Clothing</v>
      </c>
    </row>
    <row r="79" spans="1:12">
      <c r="A79">
        <v>78</v>
      </c>
      <c r="B79">
        <v>45108</v>
      </c>
      <c r="C79" t="s">
        <v>106</v>
      </c>
      <c r="D79" t="s">
        <v>17</v>
      </c>
      <c r="E79">
        <v>47</v>
      </c>
      <c r="F79" t="s">
        <v>18</v>
      </c>
      <c r="G79">
        <v>3</v>
      </c>
      <c r="H79">
        <v>500</v>
      </c>
      <c r="I79">
        <f t="shared" si="2"/>
        <v>1500</v>
      </c>
      <c r="J79" s="4">
        <f t="shared" si="3"/>
        <v>22.5</v>
      </c>
      <c r="K79" t="str">
        <f>IF(RetailSales[[#This Row],[Age]]&lt;30,"Young Adult",IF(RetailSales[[#This Row],[Age]]&lt;50,"Adult","Senior"))</f>
        <v>Adult</v>
      </c>
      <c r="L79" t="str">
        <f>_xlfn.CONCAT(I79,"_",RetailSales[[#This Row],[Product Category]])</f>
        <v>1500_Clothing</v>
      </c>
    </row>
    <row r="80" spans="1:12">
      <c r="A80">
        <v>79</v>
      </c>
      <c r="B80">
        <v>45034</v>
      </c>
      <c r="C80" t="s">
        <v>107</v>
      </c>
      <c r="D80" t="s">
        <v>13</v>
      </c>
      <c r="E80">
        <v>34</v>
      </c>
      <c r="F80" t="s">
        <v>14</v>
      </c>
      <c r="G80">
        <v>1</v>
      </c>
      <c r="H80">
        <v>300</v>
      </c>
      <c r="I80">
        <f t="shared" si="2"/>
        <v>300</v>
      </c>
      <c r="J80" s="4">
        <f t="shared" si="3"/>
        <v>4.5</v>
      </c>
      <c r="K80" t="str">
        <f>IF(RetailSales[[#This Row],[Age]]&lt;30,"Young Adult",IF(RetailSales[[#This Row],[Age]]&lt;50,"Adult","Senior"))</f>
        <v>Adult</v>
      </c>
      <c r="L80" t="str">
        <f>_xlfn.CONCAT(I80,"_",RetailSales[[#This Row],[Product Category]])</f>
        <v>300_Beauty</v>
      </c>
    </row>
    <row r="81" spans="1:12">
      <c r="A81">
        <v>80</v>
      </c>
      <c r="B81">
        <v>45270</v>
      </c>
      <c r="C81" t="s">
        <v>108</v>
      </c>
      <c r="D81" t="s">
        <v>17</v>
      </c>
      <c r="E81">
        <v>64</v>
      </c>
      <c r="F81" t="s">
        <v>18</v>
      </c>
      <c r="G81">
        <v>2</v>
      </c>
      <c r="H81">
        <v>30</v>
      </c>
      <c r="I81">
        <f t="shared" si="2"/>
        <v>60</v>
      </c>
      <c r="J81" s="4">
        <f t="shared" si="3"/>
        <v>0.89999999999999991</v>
      </c>
      <c r="K81" t="str">
        <f>IF(RetailSales[[#This Row],[Age]]&lt;30,"Young Adult",IF(RetailSales[[#This Row],[Age]]&lt;50,"Adult","Senior"))</f>
        <v>Senior</v>
      </c>
      <c r="L81" t="str">
        <f>_xlfn.CONCAT(I81,"_",RetailSales[[#This Row],[Product Category]])</f>
        <v>60_Clothing</v>
      </c>
    </row>
    <row r="82" spans="1:12">
      <c r="A82">
        <v>81</v>
      </c>
      <c r="B82">
        <v>45063</v>
      </c>
      <c r="C82" t="s">
        <v>109</v>
      </c>
      <c r="D82" t="s">
        <v>13</v>
      </c>
      <c r="E82">
        <v>40</v>
      </c>
      <c r="F82" t="s">
        <v>20</v>
      </c>
      <c r="G82">
        <v>1</v>
      </c>
      <c r="H82">
        <v>50</v>
      </c>
      <c r="I82">
        <f t="shared" si="2"/>
        <v>50</v>
      </c>
      <c r="J82" s="4">
        <f t="shared" si="3"/>
        <v>0.75</v>
      </c>
      <c r="K82" t="str">
        <f>IF(RetailSales[[#This Row],[Age]]&lt;30,"Young Adult",IF(RetailSales[[#This Row],[Age]]&lt;50,"Adult","Senior"))</f>
        <v>Adult</v>
      </c>
      <c r="L82" t="str">
        <f>_xlfn.CONCAT(I82,"_",RetailSales[[#This Row],[Product Category]])</f>
        <v>50_Electronics</v>
      </c>
    </row>
    <row r="83" spans="1:12">
      <c r="A83">
        <v>82</v>
      </c>
      <c r="B83">
        <v>45286</v>
      </c>
      <c r="C83" t="s">
        <v>110</v>
      </c>
      <c r="D83" t="s">
        <v>17</v>
      </c>
      <c r="E83">
        <v>32</v>
      </c>
      <c r="F83" t="s">
        <v>14</v>
      </c>
      <c r="G83">
        <v>4</v>
      </c>
      <c r="H83">
        <v>50</v>
      </c>
      <c r="I83">
        <f t="shared" si="2"/>
        <v>200</v>
      </c>
      <c r="J83" s="4">
        <f t="shared" si="3"/>
        <v>3</v>
      </c>
      <c r="K83" t="str">
        <f>IF(RetailSales[[#This Row],[Age]]&lt;30,"Young Adult",IF(RetailSales[[#This Row],[Age]]&lt;50,"Adult","Senior"))</f>
        <v>Adult</v>
      </c>
      <c r="L83" t="str">
        <f>_xlfn.CONCAT(I83,"_",RetailSales[[#This Row],[Product Category]])</f>
        <v>200_Beauty</v>
      </c>
    </row>
    <row r="84" spans="1:12">
      <c r="A84">
        <v>83</v>
      </c>
      <c r="B84">
        <v>45276</v>
      </c>
      <c r="C84" t="s">
        <v>111</v>
      </c>
      <c r="D84" t="s">
        <v>13</v>
      </c>
      <c r="E84">
        <v>54</v>
      </c>
      <c r="F84" t="s">
        <v>20</v>
      </c>
      <c r="G84">
        <v>2</v>
      </c>
      <c r="H84">
        <v>50</v>
      </c>
      <c r="I84">
        <f t="shared" si="2"/>
        <v>100</v>
      </c>
      <c r="J84" s="4">
        <f t="shared" si="3"/>
        <v>1.5</v>
      </c>
      <c r="K84" t="str">
        <f>IF(RetailSales[[#This Row],[Age]]&lt;30,"Young Adult",IF(RetailSales[[#This Row],[Age]]&lt;50,"Adult","Senior"))</f>
        <v>Senior</v>
      </c>
      <c r="L84" t="str">
        <f>_xlfn.CONCAT(I84,"_",RetailSales[[#This Row],[Product Category]])</f>
        <v>100_Electronics</v>
      </c>
    </row>
    <row r="85" spans="1:12">
      <c r="A85">
        <v>84</v>
      </c>
      <c r="B85">
        <v>45258</v>
      </c>
      <c r="C85" t="s">
        <v>112</v>
      </c>
      <c r="D85" t="s">
        <v>17</v>
      </c>
      <c r="E85">
        <v>38</v>
      </c>
      <c r="F85" t="s">
        <v>20</v>
      </c>
      <c r="G85">
        <v>3</v>
      </c>
      <c r="H85">
        <v>30</v>
      </c>
      <c r="I85">
        <f t="shared" si="2"/>
        <v>90</v>
      </c>
      <c r="J85" s="4">
        <f t="shared" si="3"/>
        <v>1.3499999999999999</v>
      </c>
      <c r="K85" t="str">
        <f>IF(RetailSales[[#This Row],[Age]]&lt;30,"Young Adult",IF(RetailSales[[#This Row],[Age]]&lt;50,"Adult","Senior"))</f>
        <v>Adult</v>
      </c>
      <c r="L85" t="str">
        <f>_xlfn.CONCAT(I85,"_",RetailSales[[#This Row],[Product Category]])</f>
        <v>90_Electronics</v>
      </c>
    </row>
    <row r="86" spans="1:12">
      <c r="A86">
        <v>85</v>
      </c>
      <c r="B86">
        <v>44963</v>
      </c>
      <c r="C86" t="s">
        <v>113</v>
      </c>
      <c r="D86" t="s">
        <v>13</v>
      </c>
      <c r="E86">
        <v>31</v>
      </c>
      <c r="F86" t="s">
        <v>18</v>
      </c>
      <c r="G86">
        <v>3</v>
      </c>
      <c r="H86">
        <v>50</v>
      </c>
      <c r="I86">
        <f t="shared" si="2"/>
        <v>150</v>
      </c>
      <c r="J86" s="4">
        <f t="shared" si="3"/>
        <v>2.25</v>
      </c>
      <c r="K86" t="str">
        <f>IF(RetailSales[[#This Row],[Age]]&lt;30,"Young Adult",IF(RetailSales[[#This Row],[Age]]&lt;50,"Adult","Senior"))</f>
        <v>Adult</v>
      </c>
      <c r="L86" t="str">
        <f>_xlfn.CONCAT(I86,"_",RetailSales[[#This Row],[Product Category]])</f>
        <v>150_Clothing</v>
      </c>
    </row>
    <row r="87" spans="1:12">
      <c r="A87">
        <v>86</v>
      </c>
      <c r="B87">
        <v>45238</v>
      </c>
      <c r="C87" t="s">
        <v>114</v>
      </c>
      <c r="D87" t="s">
        <v>13</v>
      </c>
      <c r="E87">
        <v>19</v>
      </c>
      <c r="F87" t="s">
        <v>14</v>
      </c>
      <c r="G87">
        <v>3</v>
      </c>
      <c r="H87">
        <v>30</v>
      </c>
      <c r="I87">
        <f t="shared" si="2"/>
        <v>90</v>
      </c>
      <c r="J87" s="4">
        <f t="shared" si="3"/>
        <v>1.3499999999999999</v>
      </c>
      <c r="K87" t="str">
        <f>IF(RetailSales[[#This Row],[Age]]&lt;30,"Young Adult",IF(RetailSales[[#This Row],[Age]]&lt;50,"Adult","Senior"))</f>
        <v>Young Adult</v>
      </c>
      <c r="L87" t="str">
        <f>_xlfn.CONCAT(I87,"_",RetailSales[[#This Row],[Product Category]])</f>
        <v>90_Beauty</v>
      </c>
    </row>
    <row r="88" spans="1:12">
      <c r="A88">
        <v>87</v>
      </c>
      <c r="B88">
        <v>45252</v>
      </c>
      <c r="C88" t="s">
        <v>115</v>
      </c>
      <c r="D88" t="s">
        <v>17</v>
      </c>
      <c r="E88">
        <v>28</v>
      </c>
      <c r="F88" t="s">
        <v>14</v>
      </c>
      <c r="G88">
        <v>2</v>
      </c>
      <c r="H88">
        <v>50</v>
      </c>
      <c r="I88">
        <f t="shared" si="2"/>
        <v>100</v>
      </c>
      <c r="J88" s="4">
        <f t="shared" si="3"/>
        <v>1.5</v>
      </c>
      <c r="K88" t="str">
        <f>IF(RetailSales[[#This Row],[Age]]&lt;30,"Young Adult",IF(RetailSales[[#This Row],[Age]]&lt;50,"Adult","Senior"))</f>
        <v>Young Adult</v>
      </c>
      <c r="L88" t="str">
        <f>_xlfn.CONCAT(I88,"_",RetailSales[[#This Row],[Product Category]])</f>
        <v>100_Beauty</v>
      </c>
    </row>
    <row r="89" spans="1:12">
      <c r="A89">
        <v>88</v>
      </c>
      <c r="B89">
        <v>45014</v>
      </c>
      <c r="C89" t="s">
        <v>116</v>
      </c>
      <c r="D89" t="s">
        <v>13</v>
      </c>
      <c r="E89">
        <v>56</v>
      </c>
      <c r="F89" t="s">
        <v>18</v>
      </c>
      <c r="G89">
        <v>1</v>
      </c>
      <c r="H89">
        <v>500</v>
      </c>
      <c r="I89">
        <f t="shared" si="2"/>
        <v>500</v>
      </c>
      <c r="J89" s="4">
        <f t="shared" si="3"/>
        <v>7.5</v>
      </c>
      <c r="K89" t="str">
        <f>IF(RetailSales[[#This Row],[Age]]&lt;30,"Young Adult",IF(RetailSales[[#This Row],[Age]]&lt;50,"Adult","Senior"))</f>
        <v>Senior</v>
      </c>
      <c r="L89" t="str">
        <f>_xlfn.CONCAT(I89,"_",RetailSales[[#This Row],[Product Category]])</f>
        <v>500_Clothing</v>
      </c>
    </row>
    <row r="90" spans="1:12">
      <c r="A90">
        <v>89</v>
      </c>
      <c r="B90">
        <v>45200</v>
      </c>
      <c r="C90" t="s">
        <v>117</v>
      </c>
      <c r="D90" t="s">
        <v>17</v>
      </c>
      <c r="E90">
        <v>55</v>
      </c>
      <c r="F90" t="s">
        <v>20</v>
      </c>
      <c r="G90">
        <v>4</v>
      </c>
      <c r="H90">
        <v>500</v>
      </c>
      <c r="I90">
        <f t="shared" si="2"/>
        <v>2000</v>
      </c>
      <c r="J90" s="4">
        <f t="shared" si="3"/>
        <v>30</v>
      </c>
      <c r="K90" t="str">
        <f>IF(RetailSales[[#This Row],[Age]]&lt;30,"Young Adult",IF(RetailSales[[#This Row],[Age]]&lt;50,"Adult","Senior"))</f>
        <v>Senior</v>
      </c>
      <c r="L90" t="str">
        <f>_xlfn.CONCAT(I90,"_",RetailSales[[#This Row],[Product Category]])</f>
        <v>2000_Electronics</v>
      </c>
    </row>
    <row r="91" spans="1:12">
      <c r="A91">
        <v>90</v>
      </c>
      <c r="B91">
        <v>45052</v>
      </c>
      <c r="C91" t="s">
        <v>118</v>
      </c>
      <c r="D91" t="s">
        <v>17</v>
      </c>
      <c r="E91">
        <v>51</v>
      </c>
      <c r="F91" t="s">
        <v>20</v>
      </c>
      <c r="G91">
        <v>1</v>
      </c>
      <c r="H91">
        <v>30</v>
      </c>
      <c r="I91">
        <f t="shared" si="2"/>
        <v>30</v>
      </c>
      <c r="J91" s="4">
        <f t="shared" si="3"/>
        <v>0.44999999999999996</v>
      </c>
      <c r="K91" t="str">
        <f>IF(RetailSales[[#This Row],[Age]]&lt;30,"Young Adult",IF(RetailSales[[#This Row],[Age]]&lt;50,"Adult","Senior"))</f>
        <v>Senior</v>
      </c>
      <c r="L91" t="str">
        <f>_xlfn.CONCAT(I91,"_",RetailSales[[#This Row],[Product Category]])</f>
        <v>30_Electronics</v>
      </c>
    </row>
    <row r="92" spans="1:12">
      <c r="A92">
        <v>91</v>
      </c>
      <c r="B92">
        <v>45010</v>
      </c>
      <c r="C92" t="s">
        <v>119</v>
      </c>
      <c r="D92" t="s">
        <v>17</v>
      </c>
      <c r="E92">
        <v>55</v>
      </c>
      <c r="F92" t="s">
        <v>20</v>
      </c>
      <c r="G92">
        <v>1</v>
      </c>
      <c r="H92">
        <v>500</v>
      </c>
      <c r="I92">
        <f t="shared" si="2"/>
        <v>500</v>
      </c>
      <c r="J92" s="4">
        <f t="shared" si="3"/>
        <v>7.5</v>
      </c>
      <c r="K92" t="str">
        <f>IF(RetailSales[[#This Row],[Age]]&lt;30,"Young Adult",IF(RetailSales[[#This Row],[Age]]&lt;50,"Adult","Senior"))</f>
        <v>Senior</v>
      </c>
      <c r="L92" t="str">
        <f>_xlfn.CONCAT(I92,"_",RetailSales[[#This Row],[Product Category]])</f>
        <v>500_Electronics</v>
      </c>
    </row>
    <row r="93" spans="1:12">
      <c r="A93">
        <v>92</v>
      </c>
      <c r="B93">
        <v>45163</v>
      </c>
      <c r="C93" t="s">
        <v>120</v>
      </c>
      <c r="D93" t="s">
        <v>17</v>
      </c>
      <c r="E93">
        <v>51</v>
      </c>
      <c r="F93" t="s">
        <v>20</v>
      </c>
      <c r="G93">
        <v>4</v>
      </c>
      <c r="H93">
        <v>30</v>
      </c>
      <c r="I93">
        <f t="shared" si="2"/>
        <v>120</v>
      </c>
      <c r="J93" s="4">
        <f t="shared" si="3"/>
        <v>1.7999999999999998</v>
      </c>
      <c r="K93" t="str">
        <f>IF(RetailSales[[#This Row],[Age]]&lt;30,"Young Adult",IF(RetailSales[[#This Row],[Age]]&lt;50,"Adult","Senior"))</f>
        <v>Senior</v>
      </c>
      <c r="L93" t="str">
        <f>_xlfn.CONCAT(I93,"_",RetailSales[[#This Row],[Product Category]])</f>
        <v>120_Electronics</v>
      </c>
    </row>
    <row r="94" spans="1:12">
      <c r="A94">
        <v>93</v>
      </c>
      <c r="B94">
        <v>45121</v>
      </c>
      <c r="C94" t="s">
        <v>121</v>
      </c>
      <c r="D94" t="s">
        <v>17</v>
      </c>
      <c r="E94">
        <v>35</v>
      </c>
      <c r="F94" t="s">
        <v>14</v>
      </c>
      <c r="G94">
        <v>4</v>
      </c>
      <c r="H94">
        <v>500</v>
      </c>
      <c r="I94">
        <f t="shared" si="2"/>
        <v>2000</v>
      </c>
      <c r="J94" s="4">
        <f t="shared" si="3"/>
        <v>30</v>
      </c>
      <c r="K94" t="str">
        <f>IF(RetailSales[[#This Row],[Age]]&lt;30,"Young Adult",IF(RetailSales[[#This Row],[Age]]&lt;50,"Adult","Senior"))</f>
        <v>Adult</v>
      </c>
      <c r="L94" t="str">
        <f>_xlfn.CONCAT(I94,"_",RetailSales[[#This Row],[Product Category]])</f>
        <v>2000_Beauty</v>
      </c>
    </row>
    <row r="95" spans="1:12">
      <c r="A95">
        <v>94</v>
      </c>
      <c r="B95">
        <v>45065</v>
      </c>
      <c r="C95" t="s">
        <v>122</v>
      </c>
      <c r="D95" t="s">
        <v>17</v>
      </c>
      <c r="E95">
        <v>47</v>
      </c>
      <c r="F95" t="s">
        <v>14</v>
      </c>
      <c r="G95">
        <v>2</v>
      </c>
      <c r="H95">
        <v>500</v>
      </c>
      <c r="I95">
        <f t="shared" si="2"/>
        <v>1000</v>
      </c>
      <c r="J95" s="4">
        <f t="shared" si="3"/>
        <v>15</v>
      </c>
      <c r="K95" t="str">
        <f>IF(RetailSales[[#This Row],[Age]]&lt;30,"Young Adult",IF(RetailSales[[#This Row],[Age]]&lt;50,"Adult","Senior"))</f>
        <v>Adult</v>
      </c>
      <c r="L95" t="str">
        <f>_xlfn.CONCAT(I95,"_",RetailSales[[#This Row],[Product Category]])</f>
        <v>1000_Beauty</v>
      </c>
    </row>
    <row r="96" spans="1:12">
      <c r="A96">
        <v>95</v>
      </c>
      <c r="B96">
        <v>45254</v>
      </c>
      <c r="C96" t="s">
        <v>123</v>
      </c>
      <c r="D96" t="s">
        <v>17</v>
      </c>
      <c r="E96">
        <v>32</v>
      </c>
      <c r="F96" t="s">
        <v>18</v>
      </c>
      <c r="G96">
        <v>2</v>
      </c>
      <c r="H96">
        <v>30</v>
      </c>
      <c r="I96">
        <f t="shared" si="2"/>
        <v>60</v>
      </c>
      <c r="J96" s="4">
        <f t="shared" si="3"/>
        <v>0.89999999999999991</v>
      </c>
      <c r="K96" t="str">
        <f>IF(RetailSales[[#This Row],[Age]]&lt;30,"Young Adult",IF(RetailSales[[#This Row],[Age]]&lt;50,"Adult","Senior"))</f>
        <v>Adult</v>
      </c>
      <c r="L96" t="str">
        <f>_xlfn.CONCAT(I96,"_",RetailSales[[#This Row],[Product Category]])</f>
        <v>60_Clothing</v>
      </c>
    </row>
    <row r="97" spans="1:12">
      <c r="A97">
        <v>96</v>
      </c>
      <c r="B97">
        <v>45279</v>
      </c>
      <c r="C97" t="s">
        <v>124</v>
      </c>
      <c r="D97" t="s">
        <v>17</v>
      </c>
      <c r="E97">
        <v>44</v>
      </c>
      <c r="F97" t="s">
        <v>18</v>
      </c>
      <c r="G97">
        <v>2</v>
      </c>
      <c r="H97">
        <v>300</v>
      </c>
      <c r="I97">
        <f t="shared" si="2"/>
        <v>600</v>
      </c>
      <c r="J97" s="4">
        <f t="shared" si="3"/>
        <v>9</v>
      </c>
      <c r="K97" t="str">
        <f>IF(RetailSales[[#This Row],[Age]]&lt;30,"Young Adult",IF(RetailSales[[#This Row],[Age]]&lt;50,"Adult","Senior"))</f>
        <v>Adult</v>
      </c>
      <c r="L97" t="str">
        <f>_xlfn.CONCAT(I97,"_",RetailSales[[#This Row],[Product Category]])</f>
        <v>600_Clothing</v>
      </c>
    </row>
    <row r="98" spans="1:12">
      <c r="A98">
        <v>97</v>
      </c>
      <c r="B98">
        <v>45212</v>
      </c>
      <c r="C98" t="s">
        <v>125</v>
      </c>
      <c r="D98" t="s">
        <v>17</v>
      </c>
      <c r="E98">
        <v>51</v>
      </c>
      <c r="F98" t="s">
        <v>14</v>
      </c>
      <c r="G98">
        <v>2</v>
      </c>
      <c r="H98">
        <v>500</v>
      </c>
      <c r="I98">
        <f t="shared" si="2"/>
        <v>1000</v>
      </c>
      <c r="J98" s="4">
        <f t="shared" si="3"/>
        <v>15</v>
      </c>
      <c r="K98" t="str">
        <f>IF(RetailSales[[#This Row],[Age]]&lt;30,"Young Adult",IF(RetailSales[[#This Row],[Age]]&lt;50,"Adult","Senior"))</f>
        <v>Senior</v>
      </c>
      <c r="L98" t="str">
        <f>_xlfn.CONCAT(I98,"_",RetailSales[[#This Row],[Product Category]])</f>
        <v>1000_Beauty</v>
      </c>
    </row>
    <row r="99" spans="1:12">
      <c r="A99">
        <v>98</v>
      </c>
      <c r="B99">
        <v>45039</v>
      </c>
      <c r="C99" t="s">
        <v>126</v>
      </c>
      <c r="D99" t="s">
        <v>17</v>
      </c>
      <c r="E99">
        <v>55</v>
      </c>
      <c r="F99" t="s">
        <v>14</v>
      </c>
      <c r="G99">
        <v>2</v>
      </c>
      <c r="H99">
        <v>50</v>
      </c>
      <c r="I99">
        <f t="shared" si="2"/>
        <v>100</v>
      </c>
      <c r="J99" s="4">
        <f t="shared" si="3"/>
        <v>1.5</v>
      </c>
      <c r="K99" t="str">
        <f>IF(RetailSales[[#This Row],[Age]]&lt;30,"Young Adult",IF(RetailSales[[#This Row],[Age]]&lt;50,"Adult","Senior"))</f>
        <v>Senior</v>
      </c>
      <c r="L99" t="str">
        <f>_xlfn.CONCAT(I99,"_",RetailSales[[#This Row],[Product Category]])</f>
        <v>100_Beauty</v>
      </c>
    </row>
    <row r="100" spans="1:12">
      <c r="A100">
        <v>99</v>
      </c>
      <c r="B100">
        <v>45277</v>
      </c>
      <c r="C100" t="s">
        <v>127</v>
      </c>
      <c r="D100" t="s">
        <v>17</v>
      </c>
      <c r="E100">
        <v>50</v>
      </c>
      <c r="F100" t="s">
        <v>20</v>
      </c>
      <c r="G100">
        <v>4</v>
      </c>
      <c r="H100">
        <v>300</v>
      </c>
      <c r="I100">
        <f t="shared" si="2"/>
        <v>1200</v>
      </c>
      <c r="J100" s="4">
        <f t="shared" si="3"/>
        <v>18</v>
      </c>
      <c r="K100" t="str">
        <f>IF(RetailSales[[#This Row],[Age]]&lt;30,"Young Adult",IF(RetailSales[[#This Row],[Age]]&lt;50,"Adult","Senior"))</f>
        <v>Senior</v>
      </c>
      <c r="L100" t="str">
        <f>_xlfn.CONCAT(I100,"_",RetailSales[[#This Row],[Product Category]])</f>
        <v>1200_Electronics</v>
      </c>
    </row>
    <row r="101" spans="1:12">
      <c r="A101">
        <v>100</v>
      </c>
      <c r="B101">
        <v>45093</v>
      </c>
      <c r="C101" t="s">
        <v>128</v>
      </c>
      <c r="D101" t="s">
        <v>13</v>
      </c>
      <c r="E101">
        <v>41</v>
      </c>
      <c r="F101" t="s">
        <v>20</v>
      </c>
      <c r="G101">
        <v>1</v>
      </c>
      <c r="H101">
        <v>30</v>
      </c>
      <c r="I101">
        <f t="shared" si="2"/>
        <v>30</v>
      </c>
      <c r="J101" s="4">
        <f t="shared" si="3"/>
        <v>0.44999999999999996</v>
      </c>
      <c r="K101" t="str">
        <f>IF(RetailSales[[#This Row],[Age]]&lt;30,"Young Adult",IF(RetailSales[[#This Row],[Age]]&lt;50,"Adult","Senior"))</f>
        <v>Adult</v>
      </c>
      <c r="L101" t="str">
        <f>_xlfn.CONCAT(I101,"_",RetailSales[[#This Row],[Product Category]])</f>
        <v>30_Electronics</v>
      </c>
    </row>
    <row r="102" spans="1:12">
      <c r="A102">
        <v>101</v>
      </c>
      <c r="B102">
        <v>44955</v>
      </c>
      <c r="C102" t="s">
        <v>129</v>
      </c>
      <c r="D102" t="s">
        <v>13</v>
      </c>
      <c r="E102">
        <v>32</v>
      </c>
      <c r="F102" t="s">
        <v>18</v>
      </c>
      <c r="G102">
        <v>2</v>
      </c>
      <c r="H102">
        <v>300</v>
      </c>
      <c r="I102">
        <f t="shared" si="2"/>
        <v>600</v>
      </c>
      <c r="J102" s="4">
        <f t="shared" si="3"/>
        <v>9</v>
      </c>
      <c r="K102" t="str">
        <f>IF(RetailSales[[#This Row],[Age]]&lt;30,"Young Adult",IF(RetailSales[[#This Row],[Age]]&lt;50,"Adult","Senior"))</f>
        <v>Adult</v>
      </c>
      <c r="L102" t="str">
        <f>_xlfn.CONCAT(I102,"_",RetailSales[[#This Row],[Product Category]])</f>
        <v>600_Clothing</v>
      </c>
    </row>
    <row r="103" spans="1:12">
      <c r="A103">
        <v>102</v>
      </c>
      <c r="B103">
        <v>45044</v>
      </c>
      <c r="C103" t="s">
        <v>130</v>
      </c>
      <c r="D103" t="s">
        <v>17</v>
      </c>
      <c r="E103">
        <v>47</v>
      </c>
      <c r="F103" t="s">
        <v>14</v>
      </c>
      <c r="G103">
        <v>2</v>
      </c>
      <c r="H103">
        <v>25</v>
      </c>
      <c r="I103">
        <f t="shared" si="2"/>
        <v>50</v>
      </c>
      <c r="J103" s="4">
        <f t="shared" si="3"/>
        <v>0.75</v>
      </c>
      <c r="K103" t="str">
        <f>IF(RetailSales[[#This Row],[Age]]&lt;30,"Young Adult",IF(RetailSales[[#This Row],[Age]]&lt;50,"Adult","Senior"))</f>
        <v>Adult</v>
      </c>
      <c r="L103" t="str">
        <f>_xlfn.CONCAT(I103,"_",RetailSales[[#This Row],[Product Category]])</f>
        <v>50_Beauty</v>
      </c>
    </row>
    <row r="104" spans="1:12">
      <c r="A104">
        <v>103</v>
      </c>
      <c r="B104">
        <v>44943</v>
      </c>
      <c r="C104" t="s">
        <v>131</v>
      </c>
      <c r="D104" t="s">
        <v>17</v>
      </c>
      <c r="E104">
        <v>59</v>
      </c>
      <c r="F104" t="s">
        <v>18</v>
      </c>
      <c r="G104">
        <v>1</v>
      </c>
      <c r="H104">
        <v>25</v>
      </c>
      <c r="I104">
        <f t="shared" si="2"/>
        <v>25</v>
      </c>
      <c r="J104" s="4">
        <f t="shared" si="3"/>
        <v>0.375</v>
      </c>
      <c r="K104" t="str">
        <f>IF(RetailSales[[#This Row],[Age]]&lt;30,"Young Adult",IF(RetailSales[[#This Row],[Age]]&lt;50,"Adult","Senior"))</f>
        <v>Senior</v>
      </c>
      <c r="L104" t="str">
        <f>_xlfn.CONCAT(I104,"_",RetailSales[[#This Row],[Product Category]])</f>
        <v>25_Clothing</v>
      </c>
    </row>
    <row r="105" spans="1:12">
      <c r="A105">
        <v>104</v>
      </c>
      <c r="B105">
        <v>45088</v>
      </c>
      <c r="C105" t="s">
        <v>132</v>
      </c>
      <c r="D105" t="s">
        <v>17</v>
      </c>
      <c r="E105">
        <v>34</v>
      </c>
      <c r="F105" t="s">
        <v>14</v>
      </c>
      <c r="G105">
        <v>2</v>
      </c>
      <c r="H105">
        <v>500</v>
      </c>
      <c r="I105">
        <f t="shared" si="2"/>
        <v>1000</v>
      </c>
      <c r="J105" s="4">
        <f t="shared" si="3"/>
        <v>15</v>
      </c>
      <c r="K105" t="str">
        <f>IF(RetailSales[[#This Row],[Age]]&lt;30,"Young Adult",IF(RetailSales[[#This Row],[Age]]&lt;50,"Adult","Senior"))</f>
        <v>Adult</v>
      </c>
      <c r="L105" t="str">
        <f>_xlfn.CONCAT(I105,"_",RetailSales[[#This Row],[Product Category]])</f>
        <v>1000_Beauty</v>
      </c>
    </row>
    <row r="106" spans="1:12">
      <c r="A106">
        <v>105</v>
      </c>
      <c r="B106">
        <v>45132</v>
      </c>
      <c r="C106" t="s">
        <v>133</v>
      </c>
      <c r="D106" t="s">
        <v>17</v>
      </c>
      <c r="E106">
        <v>22</v>
      </c>
      <c r="F106" t="s">
        <v>20</v>
      </c>
      <c r="G106">
        <v>1</v>
      </c>
      <c r="H106">
        <v>500</v>
      </c>
      <c r="I106">
        <f t="shared" si="2"/>
        <v>500</v>
      </c>
      <c r="J106" s="4">
        <f t="shared" si="3"/>
        <v>7.5</v>
      </c>
      <c r="K106" t="str">
        <f>IF(RetailSales[[#This Row],[Age]]&lt;30,"Young Adult",IF(RetailSales[[#This Row],[Age]]&lt;50,"Adult","Senior"))</f>
        <v>Young Adult</v>
      </c>
      <c r="L106" t="str">
        <f>_xlfn.CONCAT(I106,"_",RetailSales[[#This Row],[Product Category]])</f>
        <v>500_Electronics</v>
      </c>
    </row>
    <row r="107" spans="1:12">
      <c r="A107">
        <v>106</v>
      </c>
      <c r="B107">
        <v>45064</v>
      </c>
      <c r="C107" t="s">
        <v>134</v>
      </c>
      <c r="D107" t="s">
        <v>17</v>
      </c>
      <c r="E107">
        <v>46</v>
      </c>
      <c r="F107" t="s">
        <v>18</v>
      </c>
      <c r="G107">
        <v>1</v>
      </c>
      <c r="H107">
        <v>50</v>
      </c>
      <c r="I107">
        <f t="shared" si="2"/>
        <v>50</v>
      </c>
      <c r="J107" s="4">
        <f t="shared" si="3"/>
        <v>0.75</v>
      </c>
      <c r="K107" t="str">
        <f>IF(RetailSales[[#This Row],[Age]]&lt;30,"Young Adult",IF(RetailSales[[#This Row],[Age]]&lt;50,"Adult","Senior"))</f>
        <v>Adult</v>
      </c>
      <c r="L107" t="str">
        <f>_xlfn.CONCAT(I107,"_",RetailSales[[#This Row],[Product Category]])</f>
        <v>50_Clothing</v>
      </c>
    </row>
    <row r="108" spans="1:12">
      <c r="A108">
        <v>107</v>
      </c>
      <c r="B108">
        <v>44960</v>
      </c>
      <c r="C108" t="s">
        <v>135</v>
      </c>
      <c r="D108" t="s">
        <v>17</v>
      </c>
      <c r="E108">
        <v>21</v>
      </c>
      <c r="F108" t="s">
        <v>18</v>
      </c>
      <c r="G108">
        <v>4</v>
      </c>
      <c r="H108">
        <v>300</v>
      </c>
      <c r="I108">
        <f t="shared" si="2"/>
        <v>1200</v>
      </c>
      <c r="J108" s="4">
        <f t="shared" si="3"/>
        <v>18</v>
      </c>
      <c r="K108" t="str">
        <f>IF(RetailSales[[#This Row],[Age]]&lt;30,"Young Adult",IF(RetailSales[[#This Row],[Age]]&lt;50,"Adult","Senior"))</f>
        <v>Young Adult</v>
      </c>
      <c r="L108" t="str">
        <f>_xlfn.CONCAT(I108,"_",RetailSales[[#This Row],[Product Category]])</f>
        <v>1200_Clothing</v>
      </c>
    </row>
    <row r="109" spans="1:12">
      <c r="A109">
        <v>108</v>
      </c>
      <c r="B109">
        <v>45035</v>
      </c>
      <c r="C109" t="s">
        <v>136</v>
      </c>
      <c r="D109" t="s">
        <v>17</v>
      </c>
      <c r="E109">
        <v>27</v>
      </c>
      <c r="F109" t="s">
        <v>14</v>
      </c>
      <c r="G109">
        <v>3</v>
      </c>
      <c r="H109">
        <v>25</v>
      </c>
      <c r="I109">
        <f t="shared" si="2"/>
        <v>75</v>
      </c>
      <c r="J109" s="4">
        <f t="shared" si="3"/>
        <v>1.125</v>
      </c>
      <c r="K109" t="str">
        <f>IF(RetailSales[[#This Row],[Age]]&lt;30,"Young Adult",IF(RetailSales[[#This Row],[Age]]&lt;50,"Adult","Senior"))</f>
        <v>Young Adult</v>
      </c>
      <c r="L109" t="str">
        <f>_xlfn.CONCAT(I109,"_",RetailSales[[#This Row],[Product Category]])</f>
        <v>75_Beauty</v>
      </c>
    </row>
    <row r="110" spans="1:12">
      <c r="A110">
        <v>109</v>
      </c>
      <c r="B110">
        <v>45217</v>
      </c>
      <c r="C110" t="s">
        <v>137</v>
      </c>
      <c r="D110" t="s">
        <v>17</v>
      </c>
      <c r="E110">
        <v>34</v>
      </c>
      <c r="F110" t="s">
        <v>20</v>
      </c>
      <c r="G110">
        <v>4</v>
      </c>
      <c r="H110">
        <v>500</v>
      </c>
      <c r="I110">
        <f t="shared" si="2"/>
        <v>2000</v>
      </c>
      <c r="J110" s="4">
        <f t="shared" si="3"/>
        <v>30</v>
      </c>
      <c r="K110" t="str">
        <f>IF(RetailSales[[#This Row],[Age]]&lt;30,"Young Adult",IF(RetailSales[[#This Row],[Age]]&lt;50,"Adult","Senior"))</f>
        <v>Adult</v>
      </c>
      <c r="L110" t="str">
        <f>_xlfn.CONCAT(I110,"_",RetailSales[[#This Row],[Product Category]])</f>
        <v>2000_Electronics</v>
      </c>
    </row>
    <row r="111" spans="1:12">
      <c r="A111">
        <v>110</v>
      </c>
      <c r="B111">
        <v>45088</v>
      </c>
      <c r="C111" t="s">
        <v>138</v>
      </c>
      <c r="D111" t="s">
        <v>13</v>
      </c>
      <c r="E111">
        <v>27</v>
      </c>
      <c r="F111" t="s">
        <v>18</v>
      </c>
      <c r="G111">
        <v>3</v>
      </c>
      <c r="H111">
        <v>300</v>
      </c>
      <c r="I111">
        <f t="shared" si="2"/>
        <v>900</v>
      </c>
      <c r="J111" s="4">
        <f t="shared" si="3"/>
        <v>13.5</v>
      </c>
      <c r="K111" t="str">
        <f>IF(RetailSales[[#This Row],[Age]]&lt;30,"Young Adult",IF(RetailSales[[#This Row],[Age]]&lt;50,"Adult","Senior"))</f>
        <v>Young Adult</v>
      </c>
      <c r="L111" t="str">
        <f>_xlfn.CONCAT(I111,"_",RetailSales[[#This Row],[Product Category]])</f>
        <v>900_Clothing</v>
      </c>
    </row>
    <row r="112" spans="1:12">
      <c r="A112">
        <v>111</v>
      </c>
      <c r="B112">
        <v>45035</v>
      </c>
      <c r="C112" t="s">
        <v>139</v>
      </c>
      <c r="D112" t="s">
        <v>17</v>
      </c>
      <c r="E112">
        <v>34</v>
      </c>
      <c r="F112" t="s">
        <v>20</v>
      </c>
      <c r="G112">
        <v>3</v>
      </c>
      <c r="H112">
        <v>500</v>
      </c>
      <c r="I112">
        <f t="shared" si="2"/>
        <v>1500</v>
      </c>
      <c r="J112" s="4">
        <f t="shared" si="3"/>
        <v>22.5</v>
      </c>
      <c r="K112" t="str">
        <f>IF(RetailSales[[#This Row],[Age]]&lt;30,"Young Adult",IF(RetailSales[[#This Row],[Age]]&lt;50,"Adult","Senior"))</f>
        <v>Adult</v>
      </c>
      <c r="L112" t="str">
        <f>_xlfn.CONCAT(I112,"_",RetailSales[[#This Row],[Product Category]])</f>
        <v>1500_Electronics</v>
      </c>
    </row>
    <row r="113" spans="1:12">
      <c r="A113">
        <v>112</v>
      </c>
      <c r="B113">
        <v>45262</v>
      </c>
      <c r="C113" t="s">
        <v>140</v>
      </c>
      <c r="D113" t="s">
        <v>13</v>
      </c>
      <c r="E113">
        <v>37</v>
      </c>
      <c r="F113" t="s">
        <v>18</v>
      </c>
      <c r="G113">
        <v>3</v>
      </c>
      <c r="H113">
        <v>500</v>
      </c>
      <c r="I113">
        <f t="shared" si="2"/>
        <v>1500</v>
      </c>
      <c r="J113" s="4">
        <f t="shared" si="3"/>
        <v>22.5</v>
      </c>
      <c r="K113" t="str">
        <f>IF(RetailSales[[#This Row],[Age]]&lt;30,"Young Adult",IF(RetailSales[[#This Row],[Age]]&lt;50,"Adult","Senior"))</f>
        <v>Adult</v>
      </c>
      <c r="L113" t="str">
        <f>_xlfn.CONCAT(I113,"_",RetailSales[[#This Row],[Product Category]])</f>
        <v>1500_Clothing</v>
      </c>
    </row>
    <row r="114" spans="1:12">
      <c r="A114">
        <v>113</v>
      </c>
      <c r="B114">
        <v>45182</v>
      </c>
      <c r="C114" t="s">
        <v>141</v>
      </c>
      <c r="D114" t="s">
        <v>17</v>
      </c>
      <c r="E114">
        <v>41</v>
      </c>
      <c r="F114" t="s">
        <v>20</v>
      </c>
      <c r="G114">
        <v>2</v>
      </c>
      <c r="H114">
        <v>25</v>
      </c>
      <c r="I114">
        <f t="shared" si="2"/>
        <v>50</v>
      </c>
      <c r="J114" s="4">
        <f t="shared" si="3"/>
        <v>0.75</v>
      </c>
      <c r="K114" t="str">
        <f>IF(RetailSales[[#This Row],[Age]]&lt;30,"Young Adult",IF(RetailSales[[#This Row],[Age]]&lt;50,"Adult","Senior"))</f>
        <v>Adult</v>
      </c>
      <c r="L114" t="str">
        <f>_xlfn.CONCAT(I114,"_",RetailSales[[#This Row],[Product Category]])</f>
        <v>50_Electronics</v>
      </c>
    </row>
    <row r="115" spans="1:12">
      <c r="A115">
        <v>114</v>
      </c>
      <c r="B115">
        <v>45129</v>
      </c>
      <c r="C115" t="s">
        <v>142</v>
      </c>
      <c r="D115" t="s">
        <v>17</v>
      </c>
      <c r="E115">
        <v>22</v>
      </c>
      <c r="F115" t="s">
        <v>14</v>
      </c>
      <c r="G115">
        <v>4</v>
      </c>
      <c r="H115">
        <v>25</v>
      </c>
      <c r="I115">
        <f t="shared" si="2"/>
        <v>100</v>
      </c>
      <c r="J115" s="4">
        <f t="shared" si="3"/>
        <v>1.5</v>
      </c>
      <c r="K115" t="str">
        <f>IF(RetailSales[[#This Row],[Age]]&lt;30,"Young Adult",IF(RetailSales[[#This Row],[Age]]&lt;50,"Adult","Senior"))</f>
        <v>Young Adult</v>
      </c>
      <c r="L115" t="str">
        <f>_xlfn.CONCAT(I115,"_",RetailSales[[#This Row],[Product Category]])</f>
        <v>100_Beauty</v>
      </c>
    </row>
    <row r="116" spans="1:12">
      <c r="A116">
        <v>115</v>
      </c>
      <c r="B116">
        <v>45256</v>
      </c>
      <c r="C116" t="s">
        <v>143</v>
      </c>
      <c r="D116" t="s">
        <v>13</v>
      </c>
      <c r="E116">
        <v>51</v>
      </c>
      <c r="F116" t="s">
        <v>18</v>
      </c>
      <c r="G116">
        <v>3</v>
      </c>
      <c r="H116">
        <v>500</v>
      </c>
      <c r="I116">
        <f t="shared" si="2"/>
        <v>1500</v>
      </c>
      <c r="J116" s="4">
        <f t="shared" si="3"/>
        <v>22.5</v>
      </c>
      <c r="K116" t="str">
        <f>IF(RetailSales[[#This Row],[Age]]&lt;30,"Young Adult",IF(RetailSales[[#This Row],[Age]]&lt;50,"Adult","Senior"))</f>
        <v>Senior</v>
      </c>
      <c r="L116" t="str">
        <f>_xlfn.CONCAT(I116,"_",RetailSales[[#This Row],[Product Category]])</f>
        <v>1500_Clothing</v>
      </c>
    </row>
    <row r="117" spans="1:12">
      <c r="A117">
        <v>116</v>
      </c>
      <c r="B117">
        <v>45161</v>
      </c>
      <c r="C117" t="s">
        <v>144</v>
      </c>
      <c r="D117" t="s">
        <v>17</v>
      </c>
      <c r="E117">
        <v>23</v>
      </c>
      <c r="F117" t="s">
        <v>18</v>
      </c>
      <c r="G117">
        <v>1</v>
      </c>
      <c r="H117">
        <v>30</v>
      </c>
      <c r="I117">
        <f t="shared" si="2"/>
        <v>30</v>
      </c>
      <c r="J117" s="4">
        <f t="shared" si="3"/>
        <v>0.44999999999999996</v>
      </c>
      <c r="K117" t="str">
        <f>IF(RetailSales[[#This Row],[Age]]&lt;30,"Young Adult",IF(RetailSales[[#This Row],[Age]]&lt;50,"Adult","Senior"))</f>
        <v>Young Adult</v>
      </c>
      <c r="L117" t="str">
        <f>_xlfn.CONCAT(I117,"_",RetailSales[[#This Row],[Product Category]])</f>
        <v>30_Clothing</v>
      </c>
    </row>
    <row r="118" spans="1:12">
      <c r="A118">
        <v>117</v>
      </c>
      <c r="B118">
        <v>45000</v>
      </c>
      <c r="C118" t="s">
        <v>145</v>
      </c>
      <c r="D118" t="s">
        <v>13</v>
      </c>
      <c r="E118">
        <v>19</v>
      </c>
      <c r="F118" t="s">
        <v>20</v>
      </c>
      <c r="G118">
        <v>2</v>
      </c>
      <c r="H118">
        <v>500</v>
      </c>
      <c r="I118">
        <f t="shared" si="2"/>
        <v>1000</v>
      </c>
      <c r="J118" s="4">
        <f t="shared" si="3"/>
        <v>15</v>
      </c>
      <c r="K118" t="str">
        <f>IF(RetailSales[[#This Row],[Age]]&lt;30,"Young Adult",IF(RetailSales[[#This Row],[Age]]&lt;50,"Adult","Senior"))</f>
        <v>Young Adult</v>
      </c>
      <c r="L118" t="str">
        <f>_xlfn.CONCAT(I118,"_",RetailSales[[#This Row],[Product Category]])</f>
        <v>1000_Electronics</v>
      </c>
    </row>
    <row r="119" spans="1:12">
      <c r="A119">
        <v>118</v>
      </c>
      <c r="B119">
        <v>45062</v>
      </c>
      <c r="C119" t="s">
        <v>146</v>
      </c>
      <c r="D119" t="s">
        <v>17</v>
      </c>
      <c r="E119">
        <v>30</v>
      </c>
      <c r="F119" t="s">
        <v>20</v>
      </c>
      <c r="G119">
        <v>4</v>
      </c>
      <c r="H119">
        <v>500</v>
      </c>
      <c r="I119">
        <f t="shared" si="2"/>
        <v>2000</v>
      </c>
      <c r="J119" s="4">
        <f t="shared" si="3"/>
        <v>30</v>
      </c>
      <c r="K119" t="str">
        <f>IF(RetailSales[[#This Row],[Age]]&lt;30,"Young Adult",IF(RetailSales[[#This Row],[Age]]&lt;50,"Adult","Senior"))</f>
        <v>Adult</v>
      </c>
      <c r="L119" t="str">
        <f>_xlfn.CONCAT(I119,"_",RetailSales[[#This Row],[Product Category]])</f>
        <v>2000_Electronics</v>
      </c>
    </row>
    <row r="120" spans="1:12">
      <c r="A120">
        <v>119</v>
      </c>
      <c r="B120">
        <v>44998</v>
      </c>
      <c r="C120" t="s">
        <v>147</v>
      </c>
      <c r="D120" t="s">
        <v>17</v>
      </c>
      <c r="E120">
        <v>60</v>
      </c>
      <c r="F120" t="s">
        <v>18</v>
      </c>
      <c r="G120">
        <v>3</v>
      </c>
      <c r="H120">
        <v>50</v>
      </c>
      <c r="I120">
        <f t="shared" si="2"/>
        <v>150</v>
      </c>
      <c r="J120" s="4">
        <f t="shared" si="3"/>
        <v>2.25</v>
      </c>
      <c r="K120" t="str">
        <f>IF(RetailSales[[#This Row],[Age]]&lt;30,"Young Adult",IF(RetailSales[[#This Row],[Age]]&lt;50,"Adult","Senior"))</f>
        <v>Senior</v>
      </c>
      <c r="L120" t="str">
        <f>_xlfn.CONCAT(I120,"_",RetailSales[[#This Row],[Product Category]])</f>
        <v>150_Clothing</v>
      </c>
    </row>
    <row r="121" spans="1:12">
      <c r="A121">
        <v>120</v>
      </c>
      <c r="B121">
        <v>45053</v>
      </c>
      <c r="C121" t="s">
        <v>148</v>
      </c>
      <c r="D121" t="s">
        <v>13</v>
      </c>
      <c r="E121">
        <v>60</v>
      </c>
      <c r="F121" t="s">
        <v>14</v>
      </c>
      <c r="G121">
        <v>1</v>
      </c>
      <c r="H121">
        <v>50</v>
      </c>
      <c r="I121">
        <f t="shared" si="2"/>
        <v>50</v>
      </c>
      <c r="J121" s="4">
        <f t="shared" si="3"/>
        <v>0.75</v>
      </c>
      <c r="K121" t="str">
        <f>IF(RetailSales[[#This Row],[Age]]&lt;30,"Young Adult",IF(RetailSales[[#This Row],[Age]]&lt;50,"Adult","Senior"))</f>
        <v>Senior</v>
      </c>
      <c r="L121" t="str">
        <f>_xlfn.CONCAT(I121,"_",RetailSales[[#This Row],[Product Category]])</f>
        <v>50_Beauty</v>
      </c>
    </row>
    <row r="122" spans="1:12">
      <c r="A122">
        <v>121</v>
      </c>
      <c r="B122">
        <v>45214</v>
      </c>
      <c r="C122" t="s">
        <v>149</v>
      </c>
      <c r="D122" t="s">
        <v>17</v>
      </c>
      <c r="E122">
        <v>28</v>
      </c>
      <c r="F122" t="s">
        <v>20</v>
      </c>
      <c r="G122">
        <v>4</v>
      </c>
      <c r="H122">
        <v>50</v>
      </c>
      <c r="I122">
        <f t="shared" si="2"/>
        <v>200</v>
      </c>
      <c r="J122" s="4">
        <f t="shared" si="3"/>
        <v>3</v>
      </c>
      <c r="K122" t="str">
        <f>IF(RetailSales[[#This Row],[Age]]&lt;30,"Young Adult",IF(RetailSales[[#This Row],[Age]]&lt;50,"Adult","Senior"))</f>
        <v>Young Adult</v>
      </c>
      <c r="L122" t="str">
        <f>_xlfn.CONCAT(I122,"_",RetailSales[[#This Row],[Product Category]])</f>
        <v>200_Electronics</v>
      </c>
    </row>
    <row r="123" spans="1:12">
      <c r="A123">
        <v>122</v>
      </c>
      <c r="B123">
        <v>45202</v>
      </c>
      <c r="C123" t="s">
        <v>150</v>
      </c>
      <c r="D123" t="s">
        <v>13</v>
      </c>
      <c r="E123">
        <v>64</v>
      </c>
      <c r="F123" t="s">
        <v>20</v>
      </c>
      <c r="G123">
        <v>4</v>
      </c>
      <c r="H123">
        <v>30</v>
      </c>
      <c r="I123">
        <f t="shared" si="2"/>
        <v>120</v>
      </c>
      <c r="J123" s="4">
        <f t="shared" si="3"/>
        <v>1.7999999999999998</v>
      </c>
      <c r="K123" t="str">
        <f>IF(RetailSales[[#This Row],[Age]]&lt;30,"Young Adult",IF(RetailSales[[#This Row],[Age]]&lt;50,"Adult","Senior"))</f>
        <v>Senior</v>
      </c>
      <c r="L123" t="str">
        <f>_xlfn.CONCAT(I123,"_",RetailSales[[#This Row],[Product Category]])</f>
        <v>120_Electronics</v>
      </c>
    </row>
    <row r="124" spans="1:12">
      <c r="A124">
        <v>123</v>
      </c>
      <c r="B124">
        <v>45061</v>
      </c>
      <c r="C124" t="s">
        <v>151</v>
      </c>
      <c r="D124" t="s">
        <v>17</v>
      </c>
      <c r="E124">
        <v>40</v>
      </c>
      <c r="F124" t="s">
        <v>20</v>
      </c>
      <c r="G124">
        <v>2</v>
      </c>
      <c r="H124">
        <v>30</v>
      </c>
      <c r="I124">
        <f t="shared" si="2"/>
        <v>60</v>
      </c>
      <c r="J124" s="4">
        <f t="shared" si="3"/>
        <v>0.89999999999999991</v>
      </c>
      <c r="K124" t="str">
        <f>IF(RetailSales[[#This Row],[Age]]&lt;30,"Young Adult",IF(RetailSales[[#This Row],[Age]]&lt;50,"Adult","Senior"))</f>
        <v>Adult</v>
      </c>
      <c r="L124" t="str">
        <f>_xlfn.CONCAT(I124,"_",RetailSales[[#This Row],[Product Category]])</f>
        <v>60_Electronics</v>
      </c>
    </row>
    <row r="125" spans="1:12">
      <c r="A125">
        <v>124</v>
      </c>
      <c r="B125">
        <v>45226</v>
      </c>
      <c r="C125" t="s">
        <v>152</v>
      </c>
      <c r="D125" t="s">
        <v>13</v>
      </c>
      <c r="E125">
        <v>33</v>
      </c>
      <c r="F125" t="s">
        <v>18</v>
      </c>
      <c r="G125">
        <v>4</v>
      </c>
      <c r="H125">
        <v>500</v>
      </c>
      <c r="I125">
        <f t="shared" si="2"/>
        <v>2000</v>
      </c>
      <c r="J125" s="4">
        <f t="shared" si="3"/>
        <v>30</v>
      </c>
      <c r="K125" t="str">
        <f>IF(RetailSales[[#This Row],[Age]]&lt;30,"Young Adult",IF(RetailSales[[#This Row],[Age]]&lt;50,"Adult","Senior"))</f>
        <v>Adult</v>
      </c>
      <c r="L125" t="str">
        <f>_xlfn.CONCAT(I125,"_",RetailSales[[#This Row],[Product Category]])</f>
        <v>2000_Clothing</v>
      </c>
    </row>
    <row r="126" spans="1:12">
      <c r="A126">
        <v>125</v>
      </c>
      <c r="B126">
        <v>45146</v>
      </c>
      <c r="C126" t="s">
        <v>153</v>
      </c>
      <c r="D126" t="s">
        <v>13</v>
      </c>
      <c r="E126">
        <v>48</v>
      </c>
      <c r="F126" t="s">
        <v>18</v>
      </c>
      <c r="G126">
        <v>2</v>
      </c>
      <c r="H126">
        <v>50</v>
      </c>
      <c r="I126">
        <f t="shared" si="2"/>
        <v>100</v>
      </c>
      <c r="J126" s="4">
        <f t="shared" si="3"/>
        <v>1.5</v>
      </c>
      <c r="K126" t="str">
        <f>IF(RetailSales[[#This Row],[Age]]&lt;30,"Young Adult",IF(RetailSales[[#This Row],[Age]]&lt;50,"Adult","Senior"))</f>
        <v>Adult</v>
      </c>
      <c r="L126" t="str">
        <f>_xlfn.CONCAT(I126,"_",RetailSales[[#This Row],[Product Category]])</f>
        <v>100_Clothing</v>
      </c>
    </row>
    <row r="127" spans="1:12">
      <c r="A127">
        <v>126</v>
      </c>
      <c r="B127">
        <v>45225</v>
      </c>
      <c r="C127" t="s">
        <v>154</v>
      </c>
      <c r="D127" t="s">
        <v>17</v>
      </c>
      <c r="E127">
        <v>28</v>
      </c>
      <c r="F127" t="s">
        <v>18</v>
      </c>
      <c r="G127">
        <v>3</v>
      </c>
      <c r="H127">
        <v>30</v>
      </c>
      <c r="I127">
        <f t="shared" si="2"/>
        <v>90</v>
      </c>
      <c r="J127" s="4">
        <f t="shared" si="3"/>
        <v>1.3499999999999999</v>
      </c>
      <c r="K127" t="str">
        <f>IF(RetailSales[[#This Row],[Age]]&lt;30,"Young Adult",IF(RetailSales[[#This Row],[Age]]&lt;50,"Adult","Senior"))</f>
        <v>Young Adult</v>
      </c>
      <c r="L127" t="str">
        <f>_xlfn.CONCAT(I127,"_",RetailSales[[#This Row],[Product Category]])</f>
        <v>90_Clothing</v>
      </c>
    </row>
    <row r="128" spans="1:12">
      <c r="A128">
        <v>127</v>
      </c>
      <c r="B128">
        <v>45131</v>
      </c>
      <c r="C128" t="s">
        <v>155</v>
      </c>
      <c r="D128" t="s">
        <v>17</v>
      </c>
      <c r="E128">
        <v>33</v>
      </c>
      <c r="F128" t="s">
        <v>18</v>
      </c>
      <c r="G128">
        <v>2</v>
      </c>
      <c r="H128">
        <v>25</v>
      </c>
      <c r="I128">
        <f t="shared" si="2"/>
        <v>50</v>
      </c>
      <c r="J128" s="4">
        <f t="shared" si="3"/>
        <v>0.75</v>
      </c>
      <c r="K128" t="str">
        <f>IF(RetailSales[[#This Row],[Age]]&lt;30,"Young Adult",IF(RetailSales[[#This Row],[Age]]&lt;50,"Adult","Senior"))</f>
        <v>Adult</v>
      </c>
      <c r="L128" t="str">
        <f>_xlfn.CONCAT(I128,"_",RetailSales[[#This Row],[Product Category]])</f>
        <v>50_Clothing</v>
      </c>
    </row>
    <row r="129" spans="1:12">
      <c r="A129">
        <v>128</v>
      </c>
      <c r="B129">
        <v>45112</v>
      </c>
      <c r="C129" t="s">
        <v>156</v>
      </c>
      <c r="D129" t="s">
        <v>13</v>
      </c>
      <c r="E129">
        <v>25</v>
      </c>
      <c r="F129" t="s">
        <v>14</v>
      </c>
      <c r="G129">
        <v>1</v>
      </c>
      <c r="H129">
        <v>500</v>
      </c>
      <c r="I129">
        <f t="shared" si="2"/>
        <v>500</v>
      </c>
      <c r="J129" s="4">
        <f t="shared" si="3"/>
        <v>7.5</v>
      </c>
      <c r="K129" t="str">
        <f>IF(RetailSales[[#This Row],[Age]]&lt;30,"Young Adult",IF(RetailSales[[#This Row],[Age]]&lt;50,"Adult","Senior"))</f>
        <v>Young Adult</v>
      </c>
      <c r="L129" t="str">
        <f>_xlfn.CONCAT(I129,"_",RetailSales[[#This Row],[Product Category]])</f>
        <v>500_Beauty</v>
      </c>
    </row>
    <row r="130" spans="1:12">
      <c r="A130">
        <v>129</v>
      </c>
      <c r="B130">
        <v>45039</v>
      </c>
      <c r="C130" t="s">
        <v>157</v>
      </c>
      <c r="D130" t="s">
        <v>17</v>
      </c>
      <c r="E130">
        <v>21</v>
      </c>
      <c r="F130" t="s">
        <v>14</v>
      </c>
      <c r="G130">
        <v>2</v>
      </c>
      <c r="H130">
        <v>300</v>
      </c>
      <c r="I130">
        <f t="shared" si="2"/>
        <v>600</v>
      </c>
      <c r="J130" s="4">
        <f t="shared" si="3"/>
        <v>9</v>
      </c>
      <c r="K130" t="str">
        <f>IF(RetailSales[[#This Row],[Age]]&lt;30,"Young Adult",IF(RetailSales[[#This Row],[Age]]&lt;50,"Adult","Senior"))</f>
        <v>Young Adult</v>
      </c>
      <c r="L130" t="str">
        <f>_xlfn.CONCAT(I130,"_",RetailSales[[#This Row],[Product Category]])</f>
        <v>600_Beauty</v>
      </c>
    </row>
    <row r="131" spans="1:12">
      <c r="A131">
        <v>130</v>
      </c>
      <c r="B131">
        <v>44997</v>
      </c>
      <c r="C131" t="s">
        <v>158</v>
      </c>
      <c r="D131" t="s">
        <v>17</v>
      </c>
      <c r="E131">
        <v>57</v>
      </c>
      <c r="F131" t="s">
        <v>18</v>
      </c>
      <c r="G131">
        <v>1</v>
      </c>
      <c r="H131">
        <v>500</v>
      </c>
      <c r="I131">
        <f t="shared" ref="I131:I194" si="4">G131*H131</f>
        <v>500</v>
      </c>
      <c r="J131" s="4">
        <f t="shared" ref="J131:J194" si="5">I131*$O$3</f>
        <v>7.5</v>
      </c>
      <c r="K131" t="str">
        <f>IF(RetailSales[[#This Row],[Age]]&lt;30,"Young Adult",IF(RetailSales[[#This Row],[Age]]&lt;50,"Adult","Senior"))</f>
        <v>Senior</v>
      </c>
      <c r="L131" t="str">
        <f>_xlfn.CONCAT(I131,"_",RetailSales[[#This Row],[Product Category]])</f>
        <v>500_Clothing</v>
      </c>
    </row>
    <row r="132" spans="1:12">
      <c r="A132">
        <v>131</v>
      </c>
      <c r="B132">
        <v>45187</v>
      </c>
      <c r="C132" t="s">
        <v>159</v>
      </c>
      <c r="D132" t="s">
        <v>17</v>
      </c>
      <c r="E132">
        <v>21</v>
      </c>
      <c r="F132" t="s">
        <v>14</v>
      </c>
      <c r="G132">
        <v>2</v>
      </c>
      <c r="H132">
        <v>300</v>
      </c>
      <c r="I132">
        <f t="shared" si="4"/>
        <v>600</v>
      </c>
      <c r="J132" s="4">
        <f t="shared" si="5"/>
        <v>9</v>
      </c>
      <c r="K132" t="str">
        <f>IF(RetailSales[[#This Row],[Age]]&lt;30,"Young Adult",IF(RetailSales[[#This Row],[Age]]&lt;50,"Adult","Senior"))</f>
        <v>Young Adult</v>
      </c>
      <c r="L132" t="str">
        <f>_xlfn.CONCAT(I132,"_",RetailSales[[#This Row],[Product Category]])</f>
        <v>600_Beauty</v>
      </c>
    </row>
    <row r="133" spans="1:12">
      <c r="A133">
        <v>132</v>
      </c>
      <c r="B133">
        <v>45179</v>
      </c>
      <c r="C133" t="s">
        <v>160</v>
      </c>
      <c r="D133" t="s">
        <v>13</v>
      </c>
      <c r="E133">
        <v>42</v>
      </c>
      <c r="F133" t="s">
        <v>20</v>
      </c>
      <c r="G133">
        <v>4</v>
      </c>
      <c r="H133">
        <v>50</v>
      </c>
      <c r="I133">
        <f t="shared" si="4"/>
        <v>200</v>
      </c>
      <c r="J133" s="4">
        <f t="shared" si="5"/>
        <v>3</v>
      </c>
      <c r="K133" t="str">
        <f>IF(RetailSales[[#This Row],[Age]]&lt;30,"Young Adult",IF(RetailSales[[#This Row],[Age]]&lt;50,"Adult","Senior"))</f>
        <v>Adult</v>
      </c>
      <c r="L133" t="str">
        <f>_xlfn.CONCAT(I133,"_",RetailSales[[#This Row],[Product Category]])</f>
        <v>200_Electronics</v>
      </c>
    </row>
    <row r="134" spans="1:12">
      <c r="A134">
        <v>133</v>
      </c>
      <c r="B134">
        <v>44973</v>
      </c>
      <c r="C134" t="s">
        <v>161</v>
      </c>
      <c r="D134" t="s">
        <v>13</v>
      </c>
      <c r="E134">
        <v>20</v>
      </c>
      <c r="F134" t="s">
        <v>20</v>
      </c>
      <c r="G134">
        <v>3</v>
      </c>
      <c r="H134">
        <v>300</v>
      </c>
      <c r="I134">
        <f t="shared" si="4"/>
        <v>900</v>
      </c>
      <c r="J134" s="4">
        <f t="shared" si="5"/>
        <v>13.5</v>
      </c>
      <c r="K134" t="str">
        <f>IF(RetailSales[[#This Row],[Age]]&lt;30,"Young Adult",IF(RetailSales[[#This Row],[Age]]&lt;50,"Adult","Senior"))</f>
        <v>Young Adult</v>
      </c>
      <c r="L134" t="str">
        <f>_xlfn.CONCAT(I134,"_",RetailSales[[#This Row],[Product Category]])</f>
        <v>900_Electronics</v>
      </c>
    </row>
    <row r="135" spans="1:12">
      <c r="A135">
        <v>134</v>
      </c>
      <c r="B135">
        <v>44951</v>
      </c>
      <c r="C135" t="s">
        <v>162</v>
      </c>
      <c r="D135" t="s">
        <v>13</v>
      </c>
      <c r="E135">
        <v>49</v>
      </c>
      <c r="F135" t="s">
        <v>20</v>
      </c>
      <c r="G135">
        <v>1</v>
      </c>
      <c r="H135">
        <v>50</v>
      </c>
      <c r="I135">
        <f t="shared" si="4"/>
        <v>50</v>
      </c>
      <c r="J135" s="4">
        <f t="shared" si="5"/>
        <v>0.75</v>
      </c>
      <c r="K135" t="str">
        <f>IF(RetailSales[[#This Row],[Age]]&lt;30,"Young Adult",IF(RetailSales[[#This Row],[Age]]&lt;50,"Adult","Senior"))</f>
        <v>Adult</v>
      </c>
      <c r="L135" t="str">
        <f>_xlfn.CONCAT(I135,"_",RetailSales[[#This Row],[Product Category]])</f>
        <v>50_Electronics</v>
      </c>
    </row>
    <row r="136" spans="1:12">
      <c r="A136">
        <v>135</v>
      </c>
      <c r="B136">
        <v>44983</v>
      </c>
      <c r="C136" t="s">
        <v>163</v>
      </c>
      <c r="D136" t="s">
        <v>13</v>
      </c>
      <c r="E136">
        <v>20</v>
      </c>
      <c r="F136" t="s">
        <v>18</v>
      </c>
      <c r="G136">
        <v>2</v>
      </c>
      <c r="H136">
        <v>25</v>
      </c>
      <c r="I136">
        <f t="shared" si="4"/>
        <v>50</v>
      </c>
      <c r="J136" s="4">
        <f t="shared" si="5"/>
        <v>0.75</v>
      </c>
      <c r="K136" t="str">
        <f>IF(RetailSales[[#This Row],[Age]]&lt;30,"Young Adult",IF(RetailSales[[#This Row],[Age]]&lt;50,"Adult","Senior"))</f>
        <v>Young Adult</v>
      </c>
      <c r="L136" t="str">
        <f>_xlfn.CONCAT(I136,"_",RetailSales[[#This Row],[Product Category]])</f>
        <v>50_Clothing</v>
      </c>
    </row>
    <row r="137" spans="1:12">
      <c r="A137">
        <v>136</v>
      </c>
      <c r="B137">
        <v>45005</v>
      </c>
      <c r="C137" t="s">
        <v>164</v>
      </c>
      <c r="D137" t="s">
        <v>13</v>
      </c>
      <c r="E137">
        <v>44</v>
      </c>
      <c r="F137" t="s">
        <v>20</v>
      </c>
      <c r="G137">
        <v>2</v>
      </c>
      <c r="H137">
        <v>300</v>
      </c>
      <c r="I137">
        <f t="shared" si="4"/>
        <v>600</v>
      </c>
      <c r="J137" s="4">
        <f t="shared" si="5"/>
        <v>9</v>
      </c>
      <c r="K137" t="str">
        <f>IF(RetailSales[[#This Row],[Age]]&lt;30,"Young Adult",IF(RetailSales[[#This Row],[Age]]&lt;50,"Adult","Senior"))</f>
        <v>Adult</v>
      </c>
      <c r="L137" t="str">
        <f>_xlfn.CONCAT(I137,"_",RetailSales[[#This Row],[Product Category]])</f>
        <v>600_Electronics</v>
      </c>
    </row>
    <row r="138" spans="1:12">
      <c r="A138">
        <v>137</v>
      </c>
      <c r="B138">
        <v>45248</v>
      </c>
      <c r="C138" t="s">
        <v>165</v>
      </c>
      <c r="D138" t="s">
        <v>13</v>
      </c>
      <c r="E138">
        <v>46</v>
      </c>
      <c r="F138" t="s">
        <v>14</v>
      </c>
      <c r="G138">
        <v>2</v>
      </c>
      <c r="H138">
        <v>500</v>
      </c>
      <c r="I138">
        <f t="shared" si="4"/>
        <v>1000</v>
      </c>
      <c r="J138" s="4">
        <f t="shared" si="5"/>
        <v>15</v>
      </c>
      <c r="K138" t="str">
        <f>IF(RetailSales[[#This Row],[Age]]&lt;30,"Young Adult",IF(RetailSales[[#This Row],[Age]]&lt;50,"Adult","Senior"))</f>
        <v>Adult</v>
      </c>
      <c r="L138" t="str">
        <f>_xlfn.CONCAT(I138,"_",RetailSales[[#This Row],[Product Category]])</f>
        <v>1000_Beauty</v>
      </c>
    </row>
    <row r="139" spans="1:12">
      <c r="A139">
        <v>138</v>
      </c>
      <c r="B139">
        <v>45008</v>
      </c>
      <c r="C139" t="s">
        <v>166</v>
      </c>
      <c r="D139" t="s">
        <v>13</v>
      </c>
      <c r="E139">
        <v>49</v>
      </c>
      <c r="F139" t="s">
        <v>18</v>
      </c>
      <c r="G139">
        <v>4</v>
      </c>
      <c r="H139">
        <v>50</v>
      </c>
      <c r="I139">
        <f t="shared" si="4"/>
        <v>200</v>
      </c>
      <c r="J139" s="4">
        <f t="shared" si="5"/>
        <v>3</v>
      </c>
      <c r="K139" t="str">
        <f>IF(RetailSales[[#This Row],[Age]]&lt;30,"Young Adult",IF(RetailSales[[#This Row],[Age]]&lt;50,"Adult","Senior"))</f>
        <v>Adult</v>
      </c>
      <c r="L139" t="str">
        <f>_xlfn.CONCAT(I139,"_",RetailSales[[#This Row],[Product Category]])</f>
        <v>200_Clothing</v>
      </c>
    </row>
    <row r="140" spans="1:12">
      <c r="A140">
        <v>139</v>
      </c>
      <c r="B140">
        <v>45275</v>
      </c>
      <c r="C140" t="s">
        <v>167</v>
      </c>
      <c r="D140" t="s">
        <v>13</v>
      </c>
      <c r="E140">
        <v>36</v>
      </c>
      <c r="F140" t="s">
        <v>14</v>
      </c>
      <c r="G140">
        <v>4</v>
      </c>
      <c r="H140">
        <v>500</v>
      </c>
      <c r="I140">
        <f t="shared" si="4"/>
        <v>2000</v>
      </c>
      <c r="J140" s="4">
        <f t="shared" si="5"/>
        <v>30</v>
      </c>
      <c r="K140" t="str">
        <f>IF(RetailSales[[#This Row],[Age]]&lt;30,"Young Adult",IF(RetailSales[[#This Row],[Age]]&lt;50,"Adult","Senior"))</f>
        <v>Adult</v>
      </c>
      <c r="L140" t="str">
        <f>_xlfn.CONCAT(I140,"_",RetailSales[[#This Row],[Product Category]])</f>
        <v>2000_Beauty</v>
      </c>
    </row>
    <row r="141" spans="1:12">
      <c r="A141">
        <v>140</v>
      </c>
      <c r="B141">
        <v>45143</v>
      </c>
      <c r="C141" t="s">
        <v>168</v>
      </c>
      <c r="D141" t="s">
        <v>13</v>
      </c>
      <c r="E141">
        <v>38</v>
      </c>
      <c r="F141" t="s">
        <v>20</v>
      </c>
      <c r="G141">
        <v>1</v>
      </c>
      <c r="H141">
        <v>30</v>
      </c>
      <c r="I141">
        <f t="shared" si="4"/>
        <v>30</v>
      </c>
      <c r="J141" s="4">
        <f t="shared" si="5"/>
        <v>0.44999999999999996</v>
      </c>
      <c r="K141" t="str">
        <f>IF(RetailSales[[#This Row],[Age]]&lt;30,"Young Adult",IF(RetailSales[[#This Row],[Age]]&lt;50,"Adult","Senior"))</f>
        <v>Adult</v>
      </c>
      <c r="L141" t="str">
        <f>_xlfn.CONCAT(I141,"_",RetailSales[[#This Row],[Product Category]])</f>
        <v>30_Electronics</v>
      </c>
    </row>
    <row r="142" spans="1:12">
      <c r="A142">
        <v>141</v>
      </c>
      <c r="B142">
        <v>45232</v>
      </c>
      <c r="C142" t="s">
        <v>169</v>
      </c>
      <c r="D142" t="s">
        <v>17</v>
      </c>
      <c r="E142">
        <v>22</v>
      </c>
      <c r="F142" t="s">
        <v>20</v>
      </c>
      <c r="G142">
        <v>1</v>
      </c>
      <c r="H142">
        <v>50</v>
      </c>
      <c r="I142">
        <f t="shared" si="4"/>
        <v>50</v>
      </c>
      <c r="J142" s="4">
        <f t="shared" si="5"/>
        <v>0.75</v>
      </c>
      <c r="K142" t="str">
        <f>IF(RetailSales[[#This Row],[Age]]&lt;30,"Young Adult",IF(RetailSales[[#This Row],[Age]]&lt;50,"Adult","Senior"))</f>
        <v>Young Adult</v>
      </c>
      <c r="L142" t="str">
        <f>_xlfn.CONCAT(I142,"_",RetailSales[[#This Row],[Product Category]])</f>
        <v>50_Electronics</v>
      </c>
    </row>
    <row r="143" spans="1:12">
      <c r="A143">
        <v>142</v>
      </c>
      <c r="B143">
        <v>44959</v>
      </c>
      <c r="C143" t="s">
        <v>170</v>
      </c>
      <c r="D143" t="s">
        <v>13</v>
      </c>
      <c r="E143">
        <v>35</v>
      </c>
      <c r="F143" t="s">
        <v>20</v>
      </c>
      <c r="G143">
        <v>4</v>
      </c>
      <c r="H143">
        <v>300</v>
      </c>
      <c r="I143">
        <f t="shared" si="4"/>
        <v>1200</v>
      </c>
      <c r="J143" s="4">
        <f t="shared" si="5"/>
        <v>18</v>
      </c>
      <c r="K143" t="str">
        <f>IF(RetailSales[[#This Row],[Age]]&lt;30,"Young Adult",IF(RetailSales[[#This Row],[Age]]&lt;50,"Adult","Senior"))</f>
        <v>Adult</v>
      </c>
      <c r="L143" t="str">
        <f>_xlfn.CONCAT(I143,"_",RetailSales[[#This Row],[Product Category]])</f>
        <v>1200_Electronics</v>
      </c>
    </row>
    <row r="144" spans="1:12">
      <c r="A144">
        <v>143</v>
      </c>
      <c r="B144">
        <v>45124</v>
      </c>
      <c r="C144" t="s">
        <v>171</v>
      </c>
      <c r="D144" t="s">
        <v>17</v>
      </c>
      <c r="E144">
        <v>45</v>
      </c>
      <c r="F144" t="s">
        <v>18</v>
      </c>
      <c r="G144">
        <v>1</v>
      </c>
      <c r="H144">
        <v>50</v>
      </c>
      <c r="I144">
        <f t="shared" si="4"/>
        <v>50</v>
      </c>
      <c r="J144" s="4">
        <f t="shared" si="5"/>
        <v>0.75</v>
      </c>
      <c r="K144" t="str">
        <f>IF(RetailSales[[#This Row],[Age]]&lt;30,"Young Adult",IF(RetailSales[[#This Row],[Age]]&lt;50,"Adult","Senior"))</f>
        <v>Adult</v>
      </c>
      <c r="L144" t="str">
        <f>_xlfn.CONCAT(I144,"_",RetailSales[[#This Row],[Product Category]])</f>
        <v>50_Clothing</v>
      </c>
    </row>
    <row r="145" spans="1:12">
      <c r="A145">
        <v>144</v>
      </c>
      <c r="B145">
        <v>45122</v>
      </c>
      <c r="C145" t="s">
        <v>172</v>
      </c>
      <c r="D145" t="s">
        <v>17</v>
      </c>
      <c r="E145">
        <v>59</v>
      </c>
      <c r="F145" t="s">
        <v>14</v>
      </c>
      <c r="G145">
        <v>3</v>
      </c>
      <c r="H145">
        <v>500</v>
      </c>
      <c r="I145">
        <f t="shared" si="4"/>
        <v>1500</v>
      </c>
      <c r="J145" s="4">
        <f t="shared" si="5"/>
        <v>22.5</v>
      </c>
      <c r="K145" t="str">
        <f>IF(RetailSales[[#This Row],[Age]]&lt;30,"Young Adult",IF(RetailSales[[#This Row],[Age]]&lt;50,"Adult","Senior"))</f>
        <v>Senior</v>
      </c>
      <c r="L145" t="str">
        <f>_xlfn.CONCAT(I145,"_",RetailSales[[#This Row],[Product Category]])</f>
        <v>1500_Beauty</v>
      </c>
    </row>
    <row r="146" spans="1:12">
      <c r="A146">
        <v>145</v>
      </c>
      <c r="B146">
        <v>45232</v>
      </c>
      <c r="C146" t="s">
        <v>173</v>
      </c>
      <c r="D146" t="s">
        <v>17</v>
      </c>
      <c r="E146">
        <v>39</v>
      </c>
      <c r="F146" t="s">
        <v>18</v>
      </c>
      <c r="G146">
        <v>3</v>
      </c>
      <c r="H146">
        <v>25</v>
      </c>
      <c r="I146">
        <f t="shared" si="4"/>
        <v>75</v>
      </c>
      <c r="J146" s="4">
        <f t="shared" si="5"/>
        <v>1.125</v>
      </c>
      <c r="K146" t="str">
        <f>IF(RetailSales[[#This Row],[Age]]&lt;30,"Young Adult",IF(RetailSales[[#This Row],[Age]]&lt;50,"Adult","Senior"))</f>
        <v>Adult</v>
      </c>
      <c r="L146" t="str">
        <f>_xlfn.CONCAT(I146,"_",RetailSales[[#This Row],[Product Category]])</f>
        <v>75_Clothing</v>
      </c>
    </row>
    <row r="147" spans="1:12">
      <c r="A147">
        <v>146</v>
      </c>
      <c r="B147">
        <v>45166</v>
      </c>
      <c r="C147" t="s">
        <v>174</v>
      </c>
      <c r="D147" t="s">
        <v>13</v>
      </c>
      <c r="E147">
        <v>38</v>
      </c>
      <c r="F147" t="s">
        <v>18</v>
      </c>
      <c r="G147">
        <v>4</v>
      </c>
      <c r="H147">
        <v>50</v>
      </c>
      <c r="I147">
        <f t="shared" si="4"/>
        <v>200</v>
      </c>
      <c r="J147" s="4">
        <f t="shared" si="5"/>
        <v>3</v>
      </c>
      <c r="K147" t="str">
        <f>IF(RetailSales[[#This Row],[Age]]&lt;30,"Young Adult",IF(RetailSales[[#This Row],[Age]]&lt;50,"Adult","Senior"))</f>
        <v>Adult</v>
      </c>
      <c r="L147" t="str">
        <f>_xlfn.CONCAT(I147,"_",RetailSales[[#This Row],[Product Category]])</f>
        <v>200_Clothing</v>
      </c>
    </row>
    <row r="148" spans="1:12">
      <c r="A148">
        <v>147</v>
      </c>
      <c r="B148">
        <v>45197</v>
      </c>
      <c r="C148" t="s">
        <v>175</v>
      </c>
      <c r="D148" t="s">
        <v>13</v>
      </c>
      <c r="E148">
        <v>23</v>
      </c>
      <c r="F148" t="s">
        <v>20</v>
      </c>
      <c r="G148">
        <v>1</v>
      </c>
      <c r="H148">
        <v>300</v>
      </c>
      <c r="I148">
        <f t="shared" si="4"/>
        <v>300</v>
      </c>
      <c r="J148" s="4">
        <f t="shared" si="5"/>
        <v>4.5</v>
      </c>
      <c r="K148" t="str">
        <f>IF(RetailSales[[#This Row],[Age]]&lt;30,"Young Adult",IF(RetailSales[[#This Row],[Age]]&lt;50,"Adult","Senior"))</f>
        <v>Young Adult</v>
      </c>
      <c r="L148" t="str">
        <f>_xlfn.CONCAT(I148,"_",RetailSales[[#This Row],[Product Category]])</f>
        <v>300_Electronics</v>
      </c>
    </row>
    <row r="149" spans="1:12">
      <c r="A149">
        <v>148</v>
      </c>
      <c r="B149">
        <v>45055</v>
      </c>
      <c r="C149" t="s">
        <v>176</v>
      </c>
      <c r="D149" t="s">
        <v>13</v>
      </c>
      <c r="E149">
        <v>18</v>
      </c>
      <c r="F149" t="s">
        <v>18</v>
      </c>
      <c r="G149">
        <v>2</v>
      </c>
      <c r="H149">
        <v>30</v>
      </c>
      <c r="I149">
        <f t="shared" si="4"/>
        <v>60</v>
      </c>
      <c r="J149" s="4">
        <f t="shared" si="5"/>
        <v>0.89999999999999991</v>
      </c>
      <c r="K149" t="str">
        <f>IF(RetailSales[[#This Row],[Age]]&lt;30,"Young Adult",IF(RetailSales[[#This Row],[Age]]&lt;50,"Adult","Senior"))</f>
        <v>Young Adult</v>
      </c>
      <c r="L149" t="str">
        <f>_xlfn.CONCAT(I149,"_",RetailSales[[#This Row],[Product Category]])</f>
        <v>60_Clothing</v>
      </c>
    </row>
    <row r="150" spans="1:12">
      <c r="A150">
        <v>149</v>
      </c>
      <c r="B150">
        <v>45210</v>
      </c>
      <c r="C150" t="s">
        <v>177</v>
      </c>
      <c r="D150" t="s">
        <v>13</v>
      </c>
      <c r="E150">
        <v>22</v>
      </c>
      <c r="F150" t="s">
        <v>18</v>
      </c>
      <c r="G150">
        <v>3</v>
      </c>
      <c r="H150">
        <v>25</v>
      </c>
      <c r="I150">
        <f t="shared" si="4"/>
        <v>75</v>
      </c>
      <c r="J150" s="4">
        <f t="shared" si="5"/>
        <v>1.125</v>
      </c>
      <c r="K150" t="str">
        <f>IF(RetailSales[[#This Row],[Age]]&lt;30,"Young Adult",IF(RetailSales[[#This Row],[Age]]&lt;50,"Adult","Senior"))</f>
        <v>Young Adult</v>
      </c>
      <c r="L150" t="str">
        <f>_xlfn.CONCAT(I150,"_",RetailSales[[#This Row],[Product Category]])</f>
        <v>75_Clothing</v>
      </c>
    </row>
    <row r="151" spans="1:12">
      <c r="A151">
        <v>150</v>
      </c>
      <c r="B151">
        <v>44932</v>
      </c>
      <c r="C151" t="s">
        <v>178</v>
      </c>
      <c r="D151" t="s">
        <v>17</v>
      </c>
      <c r="E151">
        <v>58</v>
      </c>
      <c r="F151" t="s">
        <v>20</v>
      </c>
      <c r="G151">
        <v>4</v>
      </c>
      <c r="H151">
        <v>30</v>
      </c>
      <c r="I151">
        <f t="shared" si="4"/>
        <v>120</v>
      </c>
      <c r="J151" s="4">
        <f t="shared" si="5"/>
        <v>1.7999999999999998</v>
      </c>
      <c r="K151" t="str">
        <f>IF(RetailSales[[#This Row],[Age]]&lt;30,"Young Adult",IF(RetailSales[[#This Row],[Age]]&lt;50,"Adult","Senior"))</f>
        <v>Senior</v>
      </c>
      <c r="L151" t="str">
        <f>_xlfn.CONCAT(I151,"_",RetailSales[[#This Row],[Product Category]])</f>
        <v>120_Electronics</v>
      </c>
    </row>
    <row r="152" spans="1:12">
      <c r="A152">
        <v>151</v>
      </c>
      <c r="B152">
        <v>45275</v>
      </c>
      <c r="C152" t="s">
        <v>179</v>
      </c>
      <c r="D152" t="s">
        <v>13</v>
      </c>
      <c r="E152">
        <v>29</v>
      </c>
      <c r="F152" t="s">
        <v>18</v>
      </c>
      <c r="G152">
        <v>1</v>
      </c>
      <c r="H152">
        <v>50</v>
      </c>
      <c r="I152">
        <f t="shared" si="4"/>
        <v>50</v>
      </c>
      <c r="J152" s="4">
        <f t="shared" si="5"/>
        <v>0.75</v>
      </c>
      <c r="K152" t="str">
        <f>IF(RetailSales[[#This Row],[Age]]&lt;30,"Young Adult",IF(RetailSales[[#This Row],[Age]]&lt;50,"Adult","Senior"))</f>
        <v>Young Adult</v>
      </c>
      <c r="L152" t="str">
        <f>_xlfn.CONCAT(I152,"_",RetailSales[[#This Row],[Product Category]])</f>
        <v>50_Clothing</v>
      </c>
    </row>
    <row r="153" spans="1:12">
      <c r="A153">
        <v>152</v>
      </c>
      <c r="B153">
        <v>44985</v>
      </c>
      <c r="C153" t="s">
        <v>180</v>
      </c>
      <c r="D153" t="s">
        <v>13</v>
      </c>
      <c r="E153">
        <v>43</v>
      </c>
      <c r="F153" t="s">
        <v>20</v>
      </c>
      <c r="G153">
        <v>4</v>
      </c>
      <c r="H153">
        <v>500</v>
      </c>
      <c r="I153">
        <f t="shared" si="4"/>
        <v>2000</v>
      </c>
      <c r="J153" s="4">
        <f t="shared" si="5"/>
        <v>30</v>
      </c>
      <c r="K153" t="str">
        <f>IF(RetailSales[[#This Row],[Age]]&lt;30,"Young Adult",IF(RetailSales[[#This Row],[Age]]&lt;50,"Adult","Senior"))</f>
        <v>Adult</v>
      </c>
      <c r="L153" t="str">
        <f>_xlfn.CONCAT(I153,"_",RetailSales[[#This Row],[Product Category]])</f>
        <v>2000_Electronics</v>
      </c>
    </row>
    <row r="154" spans="1:12">
      <c r="A154">
        <v>153</v>
      </c>
      <c r="B154">
        <v>45276</v>
      </c>
      <c r="C154" t="s">
        <v>181</v>
      </c>
      <c r="D154" t="s">
        <v>13</v>
      </c>
      <c r="E154">
        <v>63</v>
      </c>
      <c r="F154" t="s">
        <v>20</v>
      </c>
      <c r="G154">
        <v>2</v>
      </c>
      <c r="H154">
        <v>500</v>
      </c>
      <c r="I154">
        <f t="shared" si="4"/>
        <v>1000</v>
      </c>
      <c r="J154" s="4">
        <f t="shared" si="5"/>
        <v>15</v>
      </c>
      <c r="K154" t="str">
        <f>IF(RetailSales[[#This Row],[Age]]&lt;30,"Young Adult",IF(RetailSales[[#This Row],[Age]]&lt;50,"Adult","Senior"))</f>
        <v>Senior</v>
      </c>
      <c r="L154" t="str">
        <f>_xlfn.CONCAT(I154,"_",RetailSales[[#This Row],[Product Category]])</f>
        <v>1000_Electronics</v>
      </c>
    </row>
    <row r="155" spans="1:12">
      <c r="A155">
        <v>154</v>
      </c>
      <c r="B155">
        <v>45201</v>
      </c>
      <c r="C155" t="s">
        <v>182</v>
      </c>
      <c r="D155" t="s">
        <v>13</v>
      </c>
      <c r="E155">
        <v>51</v>
      </c>
      <c r="F155" t="s">
        <v>20</v>
      </c>
      <c r="G155">
        <v>3</v>
      </c>
      <c r="H155">
        <v>300</v>
      </c>
      <c r="I155">
        <f t="shared" si="4"/>
        <v>900</v>
      </c>
      <c r="J155" s="4">
        <f t="shared" si="5"/>
        <v>13.5</v>
      </c>
      <c r="K155" t="str">
        <f>IF(RetailSales[[#This Row],[Age]]&lt;30,"Young Adult",IF(RetailSales[[#This Row],[Age]]&lt;50,"Adult","Senior"))</f>
        <v>Senior</v>
      </c>
      <c r="L155" t="str">
        <f>_xlfn.CONCAT(I155,"_",RetailSales[[#This Row],[Product Category]])</f>
        <v>900_Electronics</v>
      </c>
    </row>
    <row r="156" spans="1:12">
      <c r="A156">
        <v>155</v>
      </c>
      <c r="B156">
        <v>45063</v>
      </c>
      <c r="C156" t="s">
        <v>183</v>
      </c>
      <c r="D156" t="s">
        <v>13</v>
      </c>
      <c r="E156">
        <v>31</v>
      </c>
      <c r="F156" t="s">
        <v>20</v>
      </c>
      <c r="G156">
        <v>4</v>
      </c>
      <c r="H156">
        <v>500</v>
      </c>
      <c r="I156">
        <f t="shared" si="4"/>
        <v>2000</v>
      </c>
      <c r="J156" s="4">
        <f t="shared" si="5"/>
        <v>30</v>
      </c>
      <c r="K156" t="str">
        <f>IF(RetailSales[[#This Row],[Age]]&lt;30,"Young Adult",IF(RetailSales[[#This Row],[Age]]&lt;50,"Adult","Senior"))</f>
        <v>Adult</v>
      </c>
      <c r="L156" t="str">
        <f>_xlfn.CONCAT(I156,"_",RetailSales[[#This Row],[Product Category]])</f>
        <v>2000_Electronics</v>
      </c>
    </row>
    <row r="157" spans="1:12">
      <c r="A157">
        <v>156</v>
      </c>
      <c r="B157">
        <v>45255</v>
      </c>
      <c r="C157" t="s">
        <v>184</v>
      </c>
      <c r="D157" t="s">
        <v>17</v>
      </c>
      <c r="E157">
        <v>43</v>
      </c>
      <c r="F157" t="s">
        <v>18</v>
      </c>
      <c r="G157">
        <v>4</v>
      </c>
      <c r="H157">
        <v>25</v>
      </c>
      <c r="I157">
        <f t="shared" si="4"/>
        <v>100</v>
      </c>
      <c r="J157" s="4">
        <f t="shared" si="5"/>
        <v>1.5</v>
      </c>
      <c r="K157" t="str">
        <f>IF(RetailSales[[#This Row],[Age]]&lt;30,"Young Adult",IF(RetailSales[[#This Row],[Age]]&lt;50,"Adult","Senior"))</f>
        <v>Adult</v>
      </c>
      <c r="L157" t="str">
        <f>_xlfn.CONCAT(I157,"_",RetailSales[[#This Row],[Product Category]])</f>
        <v>100_Clothing</v>
      </c>
    </row>
    <row r="158" spans="1:12">
      <c r="A158">
        <v>157</v>
      </c>
      <c r="B158">
        <v>45101</v>
      </c>
      <c r="C158" t="s">
        <v>185</v>
      </c>
      <c r="D158" t="s">
        <v>13</v>
      </c>
      <c r="E158">
        <v>62</v>
      </c>
      <c r="F158" t="s">
        <v>20</v>
      </c>
      <c r="G158">
        <v>4</v>
      </c>
      <c r="H158">
        <v>500</v>
      </c>
      <c r="I158">
        <f t="shared" si="4"/>
        <v>2000</v>
      </c>
      <c r="J158" s="4">
        <f t="shared" si="5"/>
        <v>30</v>
      </c>
      <c r="K158" t="str">
        <f>IF(RetailSales[[#This Row],[Age]]&lt;30,"Young Adult",IF(RetailSales[[#This Row],[Age]]&lt;50,"Adult","Senior"))</f>
        <v>Senior</v>
      </c>
      <c r="L158" t="str">
        <f>_xlfn.CONCAT(I158,"_",RetailSales[[#This Row],[Product Category]])</f>
        <v>2000_Electronics</v>
      </c>
    </row>
    <row r="159" spans="1:12">
      <c r="A159">
        <v>158</v>
      </c>
      <c r="B159">
        <v>44984</v>
      </c>
      <c r="C159" t="s">
        <v>186</v>
      </c>
      <c r="D159" t="s">
        <v>17</v>
      </c>
      <c r="E159">
        <v>44</v>
      </c>
      <c r="F159" t="s">
        <v>20</v>
      </c>
      <c r="G159">
        <v>2</v>
      </c>
      <c r="H159">
        <v>300</v>
      </c>
      <c r="I159">
        <f t="shared" si="4"/>
        <v>600</v>
      </c>
      <c r="J159" s="4">
        <f t="shared" si="5"/>
        <v>9</v>
      </c>
      <c r="K159" t="str">
        <f>IF(RetailSales[[#This Row],[Age]]&lt;30,"Young Adult",IF(RetailSales[[#This Row],[Age]]&lt;50,"Adult","Senior"))</f>
        <v>Adult</v>
      </c>
      <c r="L159" t="str">
        <f>_xlfn.CONCAT(I159,"_",RetailSales[[#This Row],[Product Category]])</f>
        <v>600_Electronics</v>
      </c>
    </row>
    <row r="160" spans="1:12">
      <c r="A160">
        <v>159</v>
      </c>
      <c r="B160">
        <v>45077</v>
      </c>
      <c r="C160" t="s">
        <v>187</v>
      </c>
      <c r="D160" t="s">
        <v>13</v>
      </c>
      <c r="E160">
        <v>26</v>
      </c>
      <c r="F160" t="s">
        <v>18</v>
      </c>
      <c r="G160">
        <v>4</v>
      </c>
      <c r="H160">
        <v>50</v>
      </c>
      <c r="I160">
        <f t="shared" si="4"/>
        <v>200</v>
      </c>
      <c r="J160" s="4">
        <f t="shared" si="5"/>
        <v>3</v>
      </c>
      <c r="K160" t="str">
        <f>IF(RetailSales[[#This Row],[Age]]&lt;30,"Young Adult",IF(RetailSales[[#This Row],[Age]]&lt;50,"Adult","Senior"))</f>
        <v>Young Adult</v>
      </c>
      <c r="L160" t="str">
        <f>_xlfn.CONCAT(I160,"_",RetailSales[[#This Row],[Product Category]])</f>
        <v>200_Clothing</v>
      </c>
    </row>
    <row r="161" spans="1:12">
      <c r="A161">
        <v>160</v>
      </c>
      <c r="B161">
        <v>45149</v>
      </c>
      <c r="C161" t="s">
        <v>188</v>
      </c>
      <c r="D161" t="s">
        <v>17</v>
      </c>
      <c r="E161">
        <v>43</v>
      </c>
      <c r="F161" t="s">
        <v>18</v>
      </c>
      <c r="G161">
        <v>2</v>
      </c>
      <c r="H161">
        <v>50</v>
      </c>
      <c r="I161">
        <f t="shared" si="4"/>
        <v>100</v>
      </c>
      <c r="J161" s="4">
        <f t="shared" si="5"/>
        <v>1.5</v>
      </c>
      <c r="K161" t="str">
        <f>IF(RetailSales[[#This Row],[Age]]&lt;30,"Young Adult",IF(RetailSales[[#This Row],[Age]]&lt;50,"Adult","Senior"))</f>
        <v>Adult</v>
      </c>
      <c r="L161" t="str">
        <f>_xlfn.CONCAT(I161,"_",RetailSales[[#This Row],[Product Category]])</f>
        <v>100_Clothing</v>
      </c>
    </row>
    <row r="162" spans="1:12">
      <c r="A162">
        <v>161</v>
      </c>
      <c r="B162">
        <v>45007</v>
      </c>
      <c r="C162" t="s">
        <v>189</v>
      </c>
      <c r="D162" t="s">
        <v>13</v>
      </c>
      <c r="E162">
        <v>64</v>
      </c>
      <c r="F162" t="s">
        <v>14</v>
      </c>
      <c r="G162">
        <v>2</v>
      </c>
      <c r="H162">
        <v>500</v>
      </c>
      <c r="I162">
        <f t="shared" si="4"/>
        <v>1000</v>
      </c>
      <c r="J162" s="4">
        <f t="shared" si="5"/>
        <v>15</v>
      </c>
      <c r="K162" t="str">
        <f>IF(RetailSales[[#This Row],[Age]]&lt;30,"Young Adult",IF(RetailSales[[#This Row],[Age]]&lt;50,"Adult","Senior"))</f>
        <v>Senior</v>
      </c>
      <c r="L162" t="str">
        <f>_xlfn.CONCAT(I162,"_",RetailSales[[#This Row],[Product Category]])</f>
        <v>1000_Beauty</v>
      </c>
    </row>
    <row r="163" spans="1:12">
      <c r="A163">
        <v>162</v>
      </c>
      <c r="B163">
        <v>45159</v>
      </c>
      <c r="C163" t="s">
        <v>190</v>
      </c>
      <c r="D163" t="s">
        <v>13</v>
      </c>
      <c r="E163">
        <v>39</v>
      </c>
      <c r="F163" t="s">
        <v>18</v>
      </c>
      <c r="G163">
        <v>2</v>
      </c>
      <c r="H163">
        <v>30</v>
      </c>
      <c r="I163">
        <f t="shared" si="4"/>
        <v>60</v>
      </c>
      <c r="J163" s="4">
        <f t="shared" si="5"/>
        <v>0.89999999999999991</v>
      </c>
      <c r="K163" t="str">
        <f>IF(RetailSales[[#This Row],[Age]]&lt;30,"Young Adult",IF(RetailSales[[#This Row],[Age]]&lt;50,"Adult","Senior"))</f>
        <v>Adult</v>
      </c>
      <c r="L163" t="str">
        <f>_xlfn.CONCAT(I163,"_",RetailSales[[#This Row],[Product Category]])</f>
        <v>60_Clothing</v>
      </c>
    </row>
    <row r="164" spans="1:12">
      <c r="A164">
        <v>163</v>
      </c>
      <c r="B164">
        <v>44928</v>
      </c>
      <c r="C164" t="s">
        <v>191</v>
      </c>
      <c r="D164" t="s">
        <v>17</v>
      </c>
      <c r="E164">
        <v>64</v>
      </c>
      <c r="F164" t="s">
        <v>18</v>
      </c>
      <c r="G164">
        <v>3</v>
      </c>
      <c r="H164">
        <v>50</v>
      </c>
      <c r="I164">
        <f t="shared" si="4"/>
        <v>150</v>
      </c>
      <c r="J164" s="4">
        <f t="shared" si="5"/>
        <v>2.25</v>
      </c>
      <c r="K164" t="str">
        <f>IF(RetailSales[[#This Row],[Age]]&lt;30,"Young Adult",IF(RetailSales[[#This Row],[Age]]&lt;50,"Adult","Senior"))</f>
        <v>Senior</v>
      </c>
      <c r="L164" t="str">
        <f>_xlfn.CONCAT(I164,"_",RetailSales[[#This Row],[Product Category]])</f>
        <v>150_Clothing</v>
      </c>
    </row>
    <row r="165" spans="1:12">
      <c r="A165">
        <v>164</v>
      </c>
      <c r="B165">
        <v>45061</v>
      </c>
      <c r="C165" t="s">
        <v>192</v>
      </c>
      <c r="D165" t="s">
        <v>17</v>
      </c>
      <c r="E165">
        <v>47</v>
      </c>
      <c r="F165" t="s">
        <v>14</v>
      </c>
      <c r="G165">
        <v>3</v>
      </c>
      <c r="H165">
        <v>500</v>
      </c>
      <c r="I165">
        <f t="shared" si="4"/>
        <v>1500</v>
      </c>
      <c r="J165" s="4">
        <f t="shared" si="5"/>
        <v>22.5</v>
      </c>
      <c r="K165" t="str">
        <f>IF(RetailSales[[#This Row],[Age]]&lt;30,"Young Adult",IF(RetailSales[[#This Row],[Age]]&lt;50,"Adult","Senior"))</f>
        <v>Adult</v>
      </c>
      <c r="L165" t="str">
        <f>_xlfn.CONCAT(I165,"_",RetailSales[[#This Row],[Product Category]])</f>
        <v>1500_Beauty</v>
      </c>
    </row>
    <row r="166" spans="1:12">
      <c r="A166">
        <v>165</v>
      </c>
      <c r="B166">
        <v>45183</v>
      </c>
      <c r="C166" t="s">
        <v>193</v>
      </c>
      <c r="D166" t="s">
        <v>17</v>
      </c>
      <c r="E166">
        <v>60</v>
      </c>
      <c r="F166" t="s">
        <v>18</v>
      </c>
      <c r="G166">
        <v>4</v>
      </c>
      <c r="H166">
        <v>300</v>
      </c>
      <c r="I166">
        <f t="shared" si="4"/>
        <v>1200</v>
      </c>
      <c r="J166" s="4">
        <f t="shared" si="5"/>
        <v>18</v>
      </c>
      <c r="K166" t="str">
        <f>IF(RetailSales[[#This Row],[Age]]&lt;30,"Young Adult",IF(RetailSales[[#This Row],[Age]]&lt;50,"Adult","Senior"))</f>
        <v>Senior</v>
      </c>
      <c r="L166" t="str">
        <f>_xlfn.CONCAT(I166,"_",RetailSales[[#This Row],[Product Category]])</f>
        <v>1200_Clothing</v>
      </c>
    </row>
    <row r="167" spans="1:12">
      <c r="A167">
        <v>166</v>
      </c>
      <c r="B167">
        <v>45018</v>
      </c>
      <c r="C167" t="s">
        <v>194</v>
      </c>
      <c r="D167" t="s">
        <v>13</v>
      </c>
      <c r="E167">
        <v>34</v>
      </c>
      <c r="F167" t="s">
        <v>18</v>
      </c>
      <c r="G167">
        <v>4</v>
      </c>
      <c r="H167">
        <v>500</v>
      </c>
      <c r="I167">
        <f t="shared" si="4"/>
        <v>2000</v>
      </c>
      <c r="J167" s="4">
        <f t="shared" si="5"/>
        <v>30</v>
      </c>
      <c r="K167" t="str">
        <f>IF(RetailSales[[#This Row],[Age]]&lt;30,"Young Adult",IF(RetailSales[[#This Row],[Age]]&lt;50,"Adult","Senior"))</f>
        <v>Adult</v>
      </c>
      <c r="L167" t="str">
        <f>_xlfn.CONCAT(I167,"_",RetailSales[[#This Row],[Product Category]])</f>
        <v>2000_Clothing</v>
      </c>
    </row>
    <row r="168" spans="1:12">
      <c r="A168">
        <v>167</v>
      </c>
      <c r="B168">
        <v>45186</v>
      </c>
      <c r="C168" t="s">
        <v>195</v>
      </c>
      <c r="D168" t="s">
        <v>17</v>
      </c>
      <c r="E168">
        <v>43</v>
      </c>
      <c r="F168" t="s">
        <v>18</v>
      </c>
      <c r="G168">
        <v>3</v>
      </c>
      <c r="H168">
        <v>50</v>
      </c>
      <c r="I168">
        <f t="shared" si="4"/>
        <v>150</v>
      </c>
      <c r="J168" s="4">
        <f t="shared" si="5"/>
        <v>2.25</v>
      </c>
      <c r="K168" t="str">
        <f>IF(RetailSales[[#This Row],[Age]]&lt;30,"Young Adult",IF(RetailSales[[#This Row],[Age]]&lt;50,"Adult","Senior"))</f>
        <v>Adult</v>
      </c>
      <c r="L168" t="str">
        <f>_xlfn.CONCAT(I168,"_",RetailSales[[#This Row],[Product Category]])</f>
        <v>150_Clothing</v>
      </c>
    </row>
    <row r="169" spans="1:12">
      <c r="A169">
        <v>168</v>
      </c>
      <c r="B169">
        <v>44981</v>
      </c>
      <c r="C169" t="s">
        <v>196</v>
      </c>
      <c r="D169" t="s">
        <v>13</v>
      </c>
      <c r="E169">
        <v>53</v>
      </c>
      <c r="F169" t="s">
        <v>18</v>
      </c>
      <c r="G169">
        <v>1</v>
      </c>
      <c r="H169">
        <v>300</v>
      </c>
      <c r="I169">
        <f t="shared" si="4"/>
        <v>300</v>
      </c>
      <c r="J169" s="4">
        <f t="shared" si="5"/>
        <v>4.5</v>
      </c>
      <c r="K169" t="str">
        <f>IF(RetailSales[[#This Row],[Age]]&lt;30,"Young Adult",IF(RetailSales[[#This Row],[Age]]&lt;50,"Adult","Senior"))</f>
        <v>Senior</v>
      </c>
      <c r="L169" t="str">
        <f>_xlfn.CONCAT(I169,"_",RetailSales[[#This Row],[Product Category]])</f>
        <v>300_Clothing</v>
      </c>
    </row>
    <row r="170" spans="1:12">
      <c r="A170">
        <v>169</v>
      </c>
      <c r="B170">
        <v>45247</v>
      </c>
      <c r="C170" t="s">
        <v>197</v>
      </c>
      <c r="D170" t="s">
        <v>13</v>
      </c>
      <c r="E170">
        <v>18</v>
      </c>
      <c r="F170" t="s">
        <v>14</v>
      </c>
      <c r="G170">
        <v>3</v>
      </c>
      <c r="H170">
        <v>500</v>
      </c>
      <c r="I170">
        <f t="shared" si="4"/>
        <v>1500</v>
      </c>
      <c r="J170" s="4">
        <f t="shared" si="5"/>
        <v>22.5</v>
      </c>
      <c r="K170" t="str">
        <f>IF(RetailSales[[#This Row],[Age]]&lt;30,"Young Adult",IF(RetailSales[[#This Row],[Age]]&lt;50,"Adult","Senior"))</f>
        <v>Young Adult</v>
      </c>
      <c r="L170" t="str">
        <f>_xlfn.CONCAT(I170,"_",RetailSales[[#This Row],[Product Category]])</f>
        <v>1500_Beauty</v>
      </c>
    </row>
    <row r="171" spans="1:12">
      <c r="A171">
        <v>170</v>
      </c>
      <c r="B171">
        <v>45079</v>
      </c>
      <c r="C171" t="s">
        <v>198</v>
      </c>
      <c r="D171" t="s">
        <v>17</v>
      </c>
      <c r="E171">
        <v>25</v>
      </c>
      <c r="F171" t="s">
        <v>18</v>
      </c>
      <c r="G171">
        <v>2</v>
      </c>
      <c r="H171">
        <v>25</v>
      </c>
      <c r="I171">
        <f t="shared" si="4"/>
        <v>50</v>
      </c>
      <c r="J171" s="4">
        <f t="shared" si="5"/>
        <v>0.75</v>
      </c>
      <c r="K171" t="str">
        <f>IF(RetailSales[[#This Row],[Age]]&lt;30,"Young Adult",IF(RetailSales[[#This Row],[Age]]&lt;50,"Adult","Senior"))</f>
        <v>Young Adult</v>
      </c>
      <c r="L171" t="str">
        <f>_xlfn.CONCAT(I171,"_",RetailSales[[#This Row],[Product Category]])</f>
        <v>50_Clothing</v>
      </c>
    </row>
    <row r="172" spans="1:12">
      <c r="A172">
        <v>171</v>
      </c>
      <c r="B172">
        <v>45254</v>
      </c>
      <c r="C172" t="s">
        <v>199</v>
      </c>
      <c r="D172" t="s">
        <v>17</v>
      </c>
      <c r="E172">
        <v>52</v>
      </c>
      <c r="F172" t="s">
        <v>18</v>
      </c>
      <c r="G172">
        <v>3</v>
      </c>
      <c r="H172">
        <v>300</v>
      </c>
      <c r="I172">
        <f t="shared" si="4"/>
        <v>900</v>
      </c>
      <c r="J172" s="4">
        <f t="shared" si="5"/>
        <v>13.5</v>
      </c>
      <c r="K172" t="str">
        <f>IF(RetailSales[[#This Row],[Age]]&lt;30,"Young Adult",IF(RetailSales[[#This Row],[Age]]&lt;50,"Adult","Senior"))</f>
        <v>Senior</v>
      </c>
      <c r="L172" t="str">
        <f>_xlfn.CONCAT(I172,"_",RetailSales[[#This Row],[Product Category]])</f>
        <v>900_Clothing</v>
      </c>
    </row>
    <row r="173" spans="1:12">
      <c r="A173">
        <v>172</v>
      </c>
      <c r="B173">
        <v>45186</v>
      </c>
      <c r="C173" t="s">
        <v>200</v>
      </c>
      <c r="D173" t="s">
        <v>13</v>
      </c>
      <c r="E173">
        <v>32</v>
      </c>
      <c r="F173" t="s">
        <v>14</v>
      </c>
      <c r="G173">
        <v>2</v>
      </c>
      <c r="H173">
        <v>25</v>
      </c>
      <c r="I173">
        <f t="shared" si="4"/>
        <v>50</v>
      </c>
      <c r="J173" s="4">
        <f t="shared" si="5"/>
        <v>0.75</v>
      </c>
      <c r="K173" t="str">
        <f>IF(RetailSales[[#This Row],[Age]]&lt;30,"Young Adult",IF(RetailSales[[#This Row],[Age]]&lt;50,"Adult","Senior"))</f>
        <v>Adult</v>
      </c>
      <c r="L173" t="str">
        <f>_xlfn.CONCAT(I173,"_",RetailSales[[#This Row],[Product Category]])</f>
        <v>50_Beauty</v>
      </c>
    </row>
    <row r="174" spans="1:12">
      <c r="A174">
        <v>173</v>
      </c>
      <c r="B174">
        <v>45238</v>
      </c>
      <c r="C174" t="s">
        <v>201</v>
      </c>
      <c r="D174" t="s">
        <v>13</v>
      </c>
      <c r="E174">
        <v>64</v>
      </c>
      <c r="F174" t="s">
        <v>20</v>
      </c>
      <c r="G174">
        <v>4</v>
      </c>
      <c r="H174">
        <v>30</v>
      </c>
      <c r="I174">
        <f t="shared" si="4"/>
        <v>120</v>
      </c>
      <c r="J174" s="4">
        <f t="shared" si="5"/>
        <v>1.7999999999999998</v>
      </c>
      <c r="K174" t="str">
        <f>IF(RetailSales[[#This Row],[Age]]&lt;30,"Young Adult",IF(RetailSales[[#This Row],[Age]]&lt;50,"Adult","Senior"))</f>
        <v>Senior</v>
      </c>
      <c r="L174" t="str">
        <f>_xlfn.CONCAT(I174,"_",RetailSales[[#This Row],[Product Category]])</f>
        <v>120_Electronics</v>
      </c>
    </row>
    <row r="175" spans="1:12">
      <c r="A175">
        <v>174</v>
      </c>
      <c r="B175">
        <v>45028</v>
      </c>
      <c r="C175" t="s">
        <v>202</v>
      </c>
      <c r="D175" t="s">
        <v>17</v>
      </c>
      <c r="E175">
        <v>39</v>
      </c>
      <c r="F175" t="s">
        <v>14</v>
      </c>
      <c r="G175">
        <v>1</v>
      </c>
      <c r="H175">
        <v>300</v>
      </c>
      <c r="I175">
        <f t="shared" si="4"/>
        <v>300</v>
      </c>
      <c r="J175" s="4">
        <f t="shared" si="5"/>
        <v>4.5</v>
      </c>
      <c r="K175" t="str">
        <f>IF(RetailSales[[#This Row],[Age]]&lt;30,"Young Adult",IF(RetailSales[[#This Row],[Age]]&lt;50,"Adult","Senior"))</f>
        <v>Adult</v>
      </c>
      <c r="L175" t="str">
        <f>_xlfn.CONCAT(I175,"_",RetailSales[[#This Row],[Product Category]])</f>
        <v>300_Beauty</v>
      </c>
    </row>
    <row r="176" spans="1:12">
      <c r="A176">
        <v>175</v>
      </c>
      <c r="B176">
        <v>45005</v>
      </c>
      <c r="C176" t="s">
        <v>203</v>
      </c>
      <c r="D176" t="s">
        <v>17</v>
      </c>
      <c r="E176">
        <v>31</v>
      </c>
      <c r="F176" t="s">
        <v>20</v>
      </c>
      <c r="G176">
        <v>4</v>
      </c>
      <c r="H176">
        <v>25</v>
      </c>
      <c r="I176">
        <f t="shared" si="4"/>
        <v>100</v>
      </c>
      <c r="J176" s="4">
        <f t="shared" si="5"/>
        <v>1.5</v>
      </c>
      <c r="K176" t="str">
        <f>IF(RetailSales[[#This Row],[Age]]&lt;30,"Young Adult",IF(RetailSales[[#This Row],[Age]]&lt;50,"Adult","Senior"))</f>
        <v>Adult</v>
      </c>
      <c r="L176" t="str">
        <f>_xlfn.CONCAT(I176,"_",RetailSales[[#This Row],[Product Category]])</f>
        <v>100_Electronics</v>
      </c>
    </row>
    <row r="177" spans="1:12">
      <c r="A177">
        <v>176</v>
      </c>
      <c r="B177">
        <v>45118</v>
      </c>
      <c r="C177" t="s">
        <v>204</v>
      </c>
      <c r="D177" t="s">
        <v>17</v>
      </c>
      <c r="E177">
        <v>43</v>
      </c>
      <c r="F177" t="s">
        <v>14</v>
      </c>
      <c r="G177">
        <v>2</v>
      </c>
      <c r="H177">
        <v>50</v>
      </c>
      <c r="I177">
        <f t="shared" si="4"/>
        <v>100</v>
      </c>
      <c r="J177" s="4">
        <f t="shared" si="5"/>
        <v>1.5</v>
      </c>
      <c r="K177" t="str">
        <f>IF(RetailSales[[#This Row],[Age]]&lt;30,"Young Adult",IF(RetailSales[[#This Row],[Age]]&lt;50,"Adult","Senior"))</f>
        <v>Adult</v>
      </c>
      <c r="L177" t="str">
        <f>_xlfn.CONCAT(I177,"_",RetailSales[[#This Row],[Product Category]])</f>
        <v>100_Beauty</v>
      </c>
    </row>
    <row r="178" spans="1:12">
      <c r="A178">
        <v>177</v>
      </c>
      <c r="B178">
        <v>45009</v>
      </c>
      <c r="C178" t="s">
        <v>205</v>
      </c>
      <c r="D178" t="s">
        <v>13</v>
      </c>
      <c r="E178">
        <v>45</v>
      </c>
      <c r="F178" t="s">
        <v>14</v>
      </c>
      <c r="G178">
        <v>2</v>
      </c>
      <c r="H178">
        <v>50</v>
      </c>
      <c r="I178">
        <f t="shared" si="4"/>
        <v>100</v>
      </c>
      <c r="J178" s="4">
        <f t="shared" si="5"/>
        <v>1.5</v>
      </c>
      <c r="K178" t="str">
        <f>IF(RetailSales[[#This Row],[Age]]&lt;30,"Young Adult",IF(RetailSales[[#This Row],[Age]]&lt;50,"Adult","Senior"))</f>
        <v>Adult</v>
      </c>
      <c r="L178" t="str">
        <f>_xlfn.CONCAT(I178,"_",RetailSales[[#This Row],[Product Category]])</f>
        <v>100_Beauty</v>
      </c>
    </row>
    <row r="179" spans="1:12">
      <c r="A179">
        <v>178</v>
      </c>
      <c r="B179">
        <v>45203</v>
      </c>
      <c r="C179" t="s">
        <v>206</v>
      </c>
      <c r="D179" t="s">
        <v>13</v>
      </c>
      <c r="E179">
        <v>40</v>
      </c>
      <c r="F179" t="s">
        <v>18</v>
      </c>
      <c r="G179">
        <v>2</v>
      </c>
      <c r="H179">
        <v>30</v>
      </c>
      <c r="I179">
        <f t="shared" si="4"/>
        <v>60</v>
      </c>
      <c r="J179" s="4">
        <f t="shared" si="5"/>
        <v>0.89999999999999991</v>
      </c>
      <c r="K179" t="str">
        <f>IF(RetailSales[[#This Row],[Age]]&lt;30,"Young Adult",IF(RetailSales[[#This Row],[Age]]&lt;50,"Adult","Senior"))</f>
        <v>Adult</v>
      </c>
      <c r="L179" t="str">
        <f>_xlfn.CONCAT(I179,"_",RetailSales[[#This Row],[Product Category]])</f>
        <v>60_Clothing</v>
      </c>
    </row>
    <row r="180" spans="1:12">
      <c r="A180">
        <v>179</v>
      </c>
      <c r="B180">
        <v>45198</v>
      </c>
      <c r="C180" t="s">
        <v>207</v>
      </c>
      <c r="D180" t="s">
        <v>13</v>
      </c>
      <c r="E180">
        <v>31</v>
      </c>
      <c r="F180" t="s">
        <v>20</v>
      </c>
      <c r="G180">
        <v>1</v>
      </c>
      <c r="H180">
        <v>300</v>
      </c>
      <c r="I180">
        <f t="shared" si="4"/>
        <v>300</v>
      </c>
      <c r="J180" s="4">
        <f t="shared" si="5"/>
        <v>4.5</v>
      </c>
      <c r="K180" t="str">
        <f>IF(RetailSales[[#This Row],[Age]]&lt;30,"Young Adult",IF(RetailSales[[#This Row],[Age]]&lt;50,"Adult","Senior"))</f>
        <v>Adult</v>
      </c>
      <c r="L180" t="str">
        <f>_xlfn.CONCAT(I180,"_",RetailSales[[#This Row],[Product Category]])</f>
        <v>300_Electronics</v>
      </c>
    </row>
    <row r="181" spans="1:12">
      <c r="A181">
        <v>180</v>
      </c>
      <c r="B181">
        <v>44927</v>
      </c>
      <c r="C181" t="s">
        <v>208</v>
      </c>
      <c r="D181" t="s">
        <v>13</v>
      </c>
      <c r="E181">
        <v>41</v>
      </c>
      <c r="F181" t="s">
        <v>18</v>
      </c>
      <c r="G181">
        <v>3</v>
      </c>
      <c r="H181">
        <v>300</v>
      </c>
      <c r="I181">
        <f t="shared" si="4"/>
        <v>900</v>
      </c>
      <c r="J181" s="4">
        <f t="shared" si="5"/>
        <v>13.5</v>
      </c>
      <c r="K181" t="str">
        <f>IF(RetailSales[[#This Row],[Age]]&lt;30,"Young Adult",IF(RetailSales[[#This Row],[Age]]&lt;50,"Adult","Senior"))</f>
        <v>Adult</v>
      </c>
      <c r="L181" t="str">
        <f>_xlfn.CONCAT(I181,"_",RetailSales[[#This Row],[Product Category]])</f>
        <v>900_Clothing</v>
      </c>
    </row>
    <row r="182" spans="1:12">
      <c r="A182">
        <v>181</v>
      </c>
      <c r="B182">
        <v>45233</v>
      </c>
      <c r="C182" t="s">
        <v>209</v>
      </c>
      <c r="D182" t="s">
        <v>13</v>
      </c>
      <c r="E182">
        <v>19</v>
      </c>
      <c r="F182" t="s">
        <v>20</v>
      </c>
      <c r="G182">
        <v>4</v>
      </c>
      <c r="H182">
        <v>300</v>
      </c>
      <c r="I182">
        <f t="shared" si="4"/>
        <v>1200</v>
      </c>
      <c r="J182" s="4">
        <f t="shared" si="5"/>
        <v>18</v>
      </c>
      <c r="K182" t="str">
        <f>IF(RetailSales[[#This Row],[Age]]&lt;30,"Young Adult",IF(RetailSales[[#This Row],[Age]]&lt;50,"Adult","Senior"))</f>
        <v>Young Adult</v>
      </c>
      <c r="L182" t="str">
        <f>_xlfn.CONCAT(I182,"_",RetailSales[[#This Row],[Product Category]])</f>
        <v>1200_Electronics</v>
      </c>
    </row>
    <row r="183" spans="1:12">
      <c r="A183">
        <v>182</v>
      </c>
      <c r="B183">
        <v>45092</v>
      </c>
      <c r="C183" t="s">
        <v>210</v>
      </c>
      <c r="D183" t="s">
        <v>13</v>
      </c>
      <c r="E183">
        <v>62</v>
      </c>
      <c r="F183" t="s">
        <v>14</v>
      </c>
      <c r="G183">
        <v>4</v>
      </c>
      <c r="H183">
        <v>30</v>
      </c>
      <c r="I183">
        <f t="shared" si="4"/>
        <v>120</v>
      </c>
      <c r="J183" s="4">
        <f t="shared" si="5"/>
        <v>1.7999999999999998</v>
      </c>
      <c r="K183" t="str">
        <f>IF(RetailSales[[#This Row],[Age]]&lt;30,"Young Adult",IF(RetailSales[[#This Row],[Age]]&lt;50,"Adult","Senior"))</f>
        <v>Senior</v>
      </c>
      <c r="L183" t="str">
        <f>_xlfn.CONCAT(I183,"_",RetailSales[[#This Row],[Product Category]])</f>
        <v>120_Beauty</v>
      </c>
    </row>
    <row r="184" spans="1:12">
      <c r="A184">
        <v>183</v>
      </c>
      <c r="B184">
        <v>45177</v>
      </c>
      <c r="C184" t="s">
        <v>211</v>
      </c>
      <c r="D184" t="s">
        <v>17</v>
      </c>
      <c r="E184">
        <v>43</v>
      </c>
      <c r="F184" t="s">
        <v>14</v>
      </c>
      <c r="G184">
        <v>3</v>
      </c>
      <c r="H184">
        <v>300</v>
      </c>
      <c r="I184">
        <f t="shared" si="4"/>
        <v>900</v>
      </c>
      <c r="J184" s="4">
        <f t="shared" si="5"/>
        <v>13.5</v>
      </c>
      <c r="K184" t="str">
        <f>IF(RetailSales[[#This Row],[Age]]&lt;30,"Young Adult",IF(RetailSales[[#This Row],[Age]]&lt;50,"Adult","Senior"))</f>
        <v>Adult</v>
      </c>
      <c r="L184" t="str">
        <f>_xlfn.CONCAT(I184,"_",RetailSales[[#This Row],[Product Category]])</f>
        <v>900_Beauty</v>
      </c>
    </row>
    <row r="185" spans="1:12">
      <c r="A185">
        <v>184</v>
      </c>
      <c r="B185">
        <v>44936</v>
      </c>
      <c r="C185" t="s">
        <v>212</v>
      </c>
      <c r="D185" t="s">
        <v>13</v>
      </c>
      <c r="E185">
        <v>31</v>
      </c>
      <c r="F185" t="s">
        <v>20</v>
      </c>
      <c r="G185">
        <v>4</v>
      </c>
      <c r="H185">
        <v>50</v>
      </c>
      <c r="I185">
        <f t="shared" si="4"/>
        <v>200</v>
      </c>
      <c r="J185" s="4">
        <f t="shared" si="5"/>
        <v>3</v>
      </c>
      <c r="K185" t="str">
        <f>IF(RetailSales[[#This Row],[Age]]&lt;30,"Young Adult",IF(RetailSales[[#This Row],[Age]]&lt;50,"Adult","Senior"))</f>
        <v>Adult</v>
      </c>
      <c r="L185" t="str">
        <f>_xlfn.CONCAT(I185,"_",RetailSales[[#This Row],[Product Category]])</f>
        <v>200_Electronics</v>
      </c>
    </row>
    <row r="186" spans="1:12">
      <c r="A186">
        <v>185</v>
      </c>
      <c r="B186">
        <v>44984</v>
      </c>
      <c r="C186" t="s">
        <v>213</v>
      </c>
      <c r="D186" t="s">
        <v>13</v>
      </c>
      <c r="E186">
        <v>24</v>
      </c>
      <c r="F186" t="s">
        <v>18</v>
      </c>
      <c r="G186">
        <v>1</v>
      </c>
      <c r="H186">
        <v>25</v>
      </c>
      <c r="I186">
        <f t="shared" si="4"/>
        <v>25</v>
      </c>
      <c r="J186" s="4">
        <f t="shared" si="5"/>
        <v>0.375</v>
      </c>
      <c r="K186" t="str">
        <f>IF(RetailSales[[#This Row],[Age]]&lt;30,"Young Adult",IF(RetailSales[[#This Row],[Age]]&lt;50,"Adult","Senior"))</f>
        <v>Young Adult</v>
      </c>
      <c r="L186" t="str">
        <f>_xlfn.CONCAT(I186,"_",RetailSales[[#This Row],[Product Category]])</f>
        <v>25_Clothing</v>
      </c>
    </row>
    <row r="187" spans="1:12">
      <c r="A187">
        <v>186</v>
      </c>
      <c r="B187">
        <v>45112</v>
      </c>
      <c r="C187" t="s">
        <v>214</v>
      </c>
      <c r="D187" t="s">
        <v>13</v>
      </c>
      <c r="E187">
        <v>20</v>
      </c>
      <c r="F187" t="s">
        <v>18</v>
      </c>
      <c r="G187">
        <v>4</v>
      </c>
      <c r="H187">
        <v>50</v>
      </c>
      <c r="I187">
        <f t="shared" si="4"/>
        <v>200</v>
      </c>
      <c r="J187" s="4">
        <f t="shared" si="5"/>
        <v>3</v>
      </c>
      <c r="K187" t="str">
        <f>IF(RetailSales[[#This Row],[Age]]&lt;30,"Young Adult",IF(RetailSales[[#This Row],[Age]]&lt;50,"Adult","Senior"))</f>
        <v>Young Adult</v>
      </c>
      <c r="L187" t="str">
        <f>_xlfn.CONCAT(I187,"_",RetailSales[[#This Row],[Product Category]])</f>
        <v>200_Clothing</v>
      </c>
    </row>
    <row r="188" spans="1:12">
      <c r="A188">
        <v>187</v>
      </c>
      <c r="B188">
        <v>45084</v>
      </c>
      <c r="C188" t="s">
        <v>215</v>
      </c>
      <c r="D188" t="s">
        <v>17</v>
      </c>
      <c r="E188">
        <v>64</v>
      </c>
      <c r="F188" t="s">
        <v>18</v>
      </c>
      <c r="G188">
        <v>2</v>
      </c>
      <c r="H188">
        <v>50</v>
      </c>
      <c r="I188">
        <f t="shared" si="4"/>
        <v>100</v>
      </c>
      <c r="J188" s="4">
        <f t="shared" si="5"/>
        <v>1.5</v>
      </c>
      <c r="K188" t="str">
        <f>IF(RetailSales[[#This Row],[Age]]&lt;30,"Young Adult",IF(RetailSales[[#This Row],[Age]]&lt;50,"Adult","Senior"))</f>
        <v>Senior</v>
      </c>
      <c r="L188" t="str">
        <f>_xlfn.CONCAT(I188,"_",RetailSales[[#This Row],[Product Category]])</f>
        <v>100_Clothing</v>
      </c>
    </row>
    <row r="189" spans="1:12">
      <c r="A189">
        <v>188</v>
      </c>
      <c r="B189">
        <v>45049</v>
      </c>
      <c r="C189" t="s">
        <v>216</v>
      </c>
      <c r="D189" t="s">
        <v>13</v>
      </c>
      <c r="E189">
        <v>40</v>
      </c>
      <c r="F189" t="s">
        <v>18</v>
      </c>
      <c r="G189">
        <v>3</v>
      </c>
      <c r="H189">
        <v>25</v>
      </c>
      <c r="I189">
        <f t="shared" si="4"/>
        <v>75</v>
      </c>
      <c r="J189" s="4">
        <f t="shared" si="5"/>
        <v>1.125</v>
      </c>
      <c r="K189" t="str">
        <f>IF(RetailSales[[#This Row],[Age]]&lt;30,"Young Adult",IF(RetailSales[[#This Row],[Age]]&lt;50,"Adult","Senior"))</f>
        <v>Adult</v>
      </c>
      <c r="L189" t="str">
        <f>_xlfn.CONCAT(I189,"_",RetailSales[[#This Row],[Product Category]])</f>
        <v>75_Clothing</v>
      </c>
    </row>
    <row r="190" spans="1:12">
      <c r="A190">
        <v>189</v>
      </c>
      <c r="B190">
        <v>44956</v>
      </c>
      <c r="C190" t="s">
        <v>217</v>
      </c>
      <c r="D190" t="s">
        <v>13</v>
      </c>
      <c r="E190">
        <v>63</v>
      </c>
      <c r="F190" t="s">
        <v>14</v>
      </c>
      <c r="G190">
        <v>1</v>
      </c>
      <c r="H190">
        <v>50</v>
      </c>
      <c r="I190">
        <f t="shared" si="4"/>
        <v>50</v>
      </c>
      <c r="J190" s="4">
        <f t="shared" si="5"/>
        <v>0.75</v>
      </c>
      <c r="K190" t="str">
        <f>IF(RetailSales[[#This Row],[Age]]&lt;30,"Young Adult",IF(RetailSales[[#This Row],[Age]]&lt;50,"Adult","Senior"))</f>
        <v>Senior</v>
      </c>
      <c r="L190" t="str">
        <f>_xlfn.CONCAT(I190,"_",RetailSales[[#This Row],[Product Category]])</f>
        <v>50_Beauty</v>
      </c>
    </row>
    <row r="191" spans="1:12">
      <c r="A191">
        <v>190</v>
      </c>
      <c r="B191">
        <v>45050</v>
      </c>
      <c r="C191" t="s">
        <v>218</v>
      </c>
      <c r="D191" t="s">
        <v>17</v>
      </c>
      <c r="E191">
        <v>60</v>
      </c>
      <c r="F191" t="s">
        <v>14</v>
      </c>
      <c r="G191">
        <v>3</v>
      </c>
      <c r="H191">
        <v>30</v>
      </c>
      <c r="I191">
        <f t="shared" si="4"/>
        <v>90</v>
      </c>
      <c r="J191" s="4">
        <f t="shared" si="5"/>
        <v>1.3499999999999999</v>
      </c>
      <c r="K191" t="str">
        <f>IF(RetailSales[[#This Row],[Age]]&lt;30,"Young Adult",IF(RetailSales[[#This Row],[Age]]&lt;50,"Adult","Senior"))</f>
        <v>Senior</v>
      </c>
      <c r="L191" t="str">
        <f>_xlfn.CONCAT(I191,"_",RetailSales[[#This Row],[Product Category]])</f>
        <v>90_Beauty</v>
      </c>
    </row>
    <row r="192" spans="1:12">
      <c r="A192">
        <v>191</v>
      </c>
      <c r="B192">
        <v>45217</v>
      </c>
      <c r="C192" t="s">
        <v>219</v>
      </c>
      <c r="D192" t="s">
        <v>13</v>
      </c>
      <c r="E192">
        <v>64</v>
      </c>
      <c r="F192" t="s">
        <v>14</v>
      </c>
      <c r="G192">
        <v>1</v>
      </c>
      <c r="H192">
        <v>25</v>
      </c>
      <c r="I192">
        <f t="shared" si="4"/>
        <v>25</v>
      </c>
      <c r="J192" s="4">
        <f t="shared" si="5"/>
        <v>0.375</v>
      </c>
      <c r="K192" t="str">
        <f>IF(RetailSales[[#This Row],[Age]]&lt;30,"Young Adult",IF(RetailSales[[#This Row],[Age]]&lt;50,"Adult","Senior"))</f>
        <v>Senior</v>
      </c>
      <c r="L192" t="str">
        <f>_xlfn.CONCAT(I192,"_",RetailSales[[#This Row],[Product Category]])</f>
        <v>25_Beauty</v>
      </c>
    </row>
    <row r="193" spans="1:12">
      <c r="A193">
        <v>192</v>
      </c>
      <c r="B193">
        <v>44967</v>
      </c>
      <c r="C193" t="s">
        <v>220</v>
      </c>
      <c r="D193" t="s">
        <v>13</v>
      </c>
      <c r="E193">
        <v>62</v>
      </c>
      <c r="F193" t="s">
        <v>14</v>
      </c>
      <c r="G193">
        <v>2</v>
      </c>
      <c r="H193">
        <v>50</v>
      </c>
      <c r="I193">
        <f t="shared" si="4"/>
        <v>100</v>
      </c>
      <c r="J193" s="4">
        <f t="shared" si="5"/>
        <v>1.5</v>
      </c>
      <c r="K193" t="str">
        <f>IF(RetailSales[[#This Row],[Age]]&lt;30,"Young Adult",IF(RetailSales[[#This Row],[Age]]&lt;50,"Adult","Senior"))</f>
        <v>Senior</v>
      </c>
      <c r="L193" t="str">
        <f>_xlfn.CONCAT(I193,"_",RetailSales[[#This Row],[Product Category]])</f>
        <v>100_Beauty</v>
      </c>
    </row>
    <row r="194" spans="1:12">
      <c r="A194">
        <v>193</v>
      </c>
      <c r="B194">
        <v>44970</v>
      </c>
      <c r="C194" t="s">
        <v>221</v>
      </c>
      <c r="D194" t="s">
        <v>13</v>
      </c>
      <c r="E194">
        <v>35</v>
      </c>
      <c r="F194" t="s">
        <v>14</v>
      </c>
      <c r="G194">
        <v>3</v>
      </c>
      <c r="H194">
        <v>500</v>
      </c>
      <c r="I194">
        <f t="shared" si="4"/>
        <v>1500</v>
      </c>
      <c r="J194" s="4">
        <f t="shared" si="5"/>
        <v>22.5</v>
      </c>
      <c r="K194" t="str">
        <f>IF(RetailSales[[#This Row],[Age]]&lt;30,"Young Adult",IF(RetailSales[[#This Row],[Age]]&lt;50,"Adult","Senior"))</f>
        <v>Adult</v>
      </c>
      <c r="L194" t="str">
        <f>_xlfn.CONCAT(I194,"_",RetailSales[[#This Row],[Product Category]])</f>
        <v>1500_Beauty</v>
      </c>
    </row>
    <row r="195" spans="1:12">
      <c r="A195">
        <v>194</v>
      </c>
      <c r="B195">
        <v>45175</v>
      </c>
      <c r="C195" t="s">
        <v>222</v>
      </c>
      <c r="D195" t="s">
        <v>13</v>
      </c>
      <c r="E195">
        <v>55</v>
      </c>
      <c r="F195" t="s">
        <v>18</v>
      </c>
      <c r="G195">
        <v>4</v>
      </c>
      <c r="H195">
        <v>50</v>
      </c>
      <c r="I195">
        <f t="shared" ref="I195:I258" si="6">G195*H195</f>
        <v>200</v>
      </c>
      <c r="J195" s="4">
        <f t="shared" ref="J195:J258" si="7">I195*$O$3</f>
        <v>3</v>
      </c>
      <c r="K195" t="str">
        <f>IF(RetailSales[[#This Row],[Age]]&lt;30,"Young Adult",IF(RetailSales[[#This Row],[Age]]&lt;50,"Adult","Senior"))</f>
        <v>Senior</v>
      </c>
      <c r="L195" t="str">
        <f>_xlfn.CONCAT(I195,"_",RetailSales[[#This Row],[Product Category]])</f>
        <v>200_Clothing</v>
      </c>
    </row>
    <row r="196" spans="1:12">
      <c r="A196">
        <v>195</v>
      </c>
      <c r="B196">
        <v>44962</v>
      </c>
      <c r="C196" t="s">
        <v>223</v>
      </c>
      <c r="D196" t="s">
        <v>13</v>
      </c>
      <c r="E196">
        <v>52</v>
      </c>
      <c r="F196" t="s">
        <v>18</v>
      </c>
      <c r="G196">
        <v>1</v>
      </c>
      <c r="H196">
        <v>30</v>
      </c>
      <c r="I196">
        <f t="shared" si="6"/>
        <v>30</v>
      </c>
      <c r="J196" s="4">
        <f t="shared" si="7"/>
        <v>0.44999999999999996</v>
      </c>
      <c r="K196" t="str">
        <f>IF(RetailSales[[#This Row],[Age]]&lt;30,"Young Adult",IF(RetailSales[[#This Row],[Age]]&lt;50,"Adult","Senior"))</f>
        <v>Senior</v>
      </c>
      <c r="L196" t="str">
        <f>_xlfn.CONCAT(I196,"_",RetailSales[[#This Row],[Product Category]])</f>
        <v>30_Clothing</v>
      </c>
    </row>
    <row r="197" spans="1:12">
      <c r="A197">
        <v>196</v>
      </c>
      <c r="B197">
        <v>45199</v>
      </c>
      <c r="C197" t="s">
        <v>224</v>
      </c>
      <c r="D197" t="s">
        <v>17</v>
      </c>
      <c r="E197">
        <v>32</v>
      </c>
      <c r="F197" t="s">
        <v>18</v>
      </c>
      <c r="G197">
        <v>3</v>
      </c>
      <c r="H197">
        <v>300</v>
      </c>
      <c r="I197">
        <f t="shared" si="6"/>
        <v>900</v>
      </c>
      <c r="J197" s="4">
        <f t="shared" si="7"/>
        <v>13.5</v>
      </c>
      <c r="K197" t="str">
        <f>IF(RetailSales[[#This Row],[Age]]&lt;30,"Young Adult",IF(RetailSales[[#This Row],[Age]]&lt;50,"Adult","Senior"))</f>
        <v>Adult</v>
      </c>
      <c r="L197" t="str">
        <f>_xlfn.CONCAT(I197,"_",RetailSales[[#This Row],[Product Category]])</f>
        <v>900_Clothing</v>
      </c>
    </row>
    <row r="198" spans="1:12">
      <c r="A198">
        <v>197</v>
      </c>
      <c r="B198">
        <v>44991</v>
      </c>
      <c r="C198" t="s">
        <v>225</v>
      </c>
      <c r="D198" t="s">
        <v>17</v>
      </c>
      <c r="E198">
        <v>42</v>
      </c>
      <c r="F198" t="s">
        <v>18</v>
      </c>
      <c r="G198">
        <v>4</v>
      </c>
      <c r="H198">
        <v>50</v>
      </c>
      <c r="I198">
        <f t="shared" si="6"/>
        <v>200</v>
      </c>
      <c r="J198" s="4">
        <f t="shared" si="7"/>
        <v>3</v>
      </c>
      <c r="K198" t="str">
        <f>IF(RetailSales[[#This Row],[Age]]&lt;30,"Young Adult",IF(RetailSales[[#This Row],[Age]]&lt;50,"Adult","Senior"))</f>
        <v>Adult</v>
      </c>
      <c r="L198" t="str">
        <f>_xlfn.CONCAT(I198,"_",RetailSales[[#This Row],[Product Category]])</f>
        <v>200_Clothing</v>
      </c>
    </row>
    <row r="199" spans="1:12">
      <c r="A199">
        <v>198</v>
      </c>
      <c r="B199">
        <v>44992</v>
      </c>
      <c r="C199" t="s">
        <v>226</v>
      </c>
      <c r="D199" t="s">
        <v>17</v>
      </c>
      <c r="E199">
        <v>54</v>
      </c>
      <c r="F199" t="s">
        <v>14</v>
      </c>
      <c r="G199">
        <v>3</v>
      </c>
      <c r="H199">
        <v>300</v>
      </c>
      <c r="I199">
        <f t="shared" si="6"/>
        <v>900</v>
      </c>
      <c r="J199" s="4">
        <f t="shared" si="7"/>
        <v>13.5</v>
      </c>
      <c r="K199" t="str">
        <f>IF(RetailSales[[#This Row],[Age]]&lt;30,"Young Adult",IF(RetailSales[[#This Row],[Age]]&lt;50,"Adult","Senior"))</f>
        <v>Senior</v>
      </c>
      <c r="L199" t="str">
        <f>_xlfn.CONCAT(I199,"_",RetailSales[[#This Row],[Product Category]])</f>
        <v>900_Beauty</v>
      </c>
    </row>
    <row r="200" spans="1:12">
      <c r="A200">
        <v>199</v>
      </c>
      <c r="B200">
        <v>45264</v>
      </c>
      <c r="C200" t="s">
        <v>227</v>
      </c>
      <c r="D200" t="s">
        <v>13</v>
      </c>
      <c r="E200">
        <v>45</v>
      </c>
      <c r="F200" t="s">
        <v>14</v>
      </c>
      <c r="G200">
        <v>3</v>
      </c>
      <c r="H200">
        <v>500</v>
      </c>
      <c r="I200">
        <f t="shared" si="6"/>
        <v>1500</v>
      </c>
      <c r="J200" s="4">
        <f t="shared" si="7"/>
        <v>22.5</v>
      </c>
      <c r="K200" t="str">
        <f>IF(RetailSales[[#This Row],[Age]]&lt;30,"Young Adult",IF(RetailSales[[#This Row],[Age]]&lt;50,"Adult","Senior"))</f>
        <v>Adult</v>
      </c>
      <c r="L200" t="str">
        <f>_xlfn.CONCAT(I200,"_",RetailSales[[#This Row],[Product Category]])</f>
        <v>1500_Beauty</v>
      </c>
    </row>
    <row r="201" spans="1:12">
      <c r="A201">
        <v>200</v>
      </c>
      <c r="B201">
        <v>45170</v>
      </c>
      <c r="C201" t="s">
        <v>228</v>
      </c>
      <c r="D201" t="s">
        <v>13</v>
      </c>
      <c r="E201">
        <v>27</v>
      </c>
      <c r="F201" t="s">
        <v>14</v>
      </c>
      <c r="G201">
        <v>3</v>
      </c>
      <c r="H201">
        <v>50</v>
      </c>
      <c r="I201">
        <f t="shared" si="6"/>
        <v>150</v>
      </c>
      <c r="J201" s="4">
        <f t="shared" si="7"/>
        <v>2.25</v>
      </c>
      <c r="K201" t="str">
        <f>IF(RetailSales[[#This Row],[Age]]&lt;30,"Young Adult",IF(RetailSales[[#This Row],[Age]]&lt;50,"Adult","Senior"))</f>
        <v>Young Adult</v>
      </c>
      <c r="L201" t="str">
        <f>_xlfn.CONCAT(I201,"_",RetailSales[[#This Row],[Product Category]])</f>
        <v>150_Beauty</v>
      </c>
    </row>
    <row r="202" spans="1:12">
      <c r="A202">
        <v>201</v>
      </c>
      <c r="B202">
        <v>45208</v>
      </c>
      <c r="C202" t="s">
        <v>229</v>
      </c>
      <c r="D202" t="s">
        <v>13</v>
      </c>
      <c r="E202">
        <v>56</v>
      </c>
      <c r="F202" t="s">
        <v>20</v>
      </c>
      <c r="G202">
        <v>1</v>
      </c>
      <c r="H202">
        <v>25</v>
      </c>
      <c r="I202">
        <f t="shared" si="6"/>
        <v>25</v>
      </c>
      <c r="J202" s="4">
        <f t="shared" si="7"/>
        <v>0.375</v>
      </c>
      <c r="K202" t="str">
        <f>IF(RetailSales[[#This Row],[Age]]&lt;30,"Young Adult",IF(RetailSales[[#This Row],[Age]]&lt;50,"Adult","Senior"))</f>
        <v>Senior</v>
      </c>
      <c r="L202" t="str">
        <f>_xlfn.CONCAT(I202,"_",RetailSales[[#This Row],[Product Category]])</f>
        <v>25_Electronics</v>
      </c>
    </row>
    <row r="203" spans="1:12">
      <c r="A203">
        <v>202</v>
      </c>
      <c r="B203">
        <v>45011</v>
      </c>
      <c r="C203" t="s">
        <v>230</v>
      </c>
      <c r="D203" t="s">
        <v>17</v>
      </c>
      <c r="E203">
        <v>34</v>
      </c>
      <c r="F203" t="s">
        <v>18</v>
      </c>
      <c r="G203">
        <v>4</v>
      </c>
      <c r="H203">
        <v>300</v>
      </c>
      <c r="I203">
        <f t="shared" si="6"/>
        <v>1200</v>
      </c>
      <c r="J203" s="4">
        <f t="shared" si="7"/>
        <v>18</v>
      </c>
      <c r="K203" t="str">
        <f>IF(RetailSales[[#This Row],[Age]]&lt;30,"Young Adult",IF(RetailSales[[#This Row],[Age]]&lt;50,"Adult","Senior"))</f>
        <v>Adult</v>
      </c>
      <c r="L203" t="str">
        <f>_xlfn.CONCAT(I203,"_",RetailSales[[#This Row],[Product Category]])</f>
        <v>1200_Clothing</v>
      </c>
    </row>
    <row r="204" spans="1:12">
      <c r="A204">
        <v>203</v>
      </c>
      <c r="B204">
        <v>45062</v>
      </c>
      <c r="C204" t="s">
        <v>231</v>
      </c>
      <c r="D204" t="s">
        <v>13</v>
      </c>
      <c r="E204">
        <v>56</v>
      </c>
      <c r="F204" t="s">
        <v>18</v>
      </c>
      <c r="G204">
        <v>2</v>
      </c>
      <c r="H204">
        <v>500</v>
      </c>
      <c r="I204">
        <f t="shared" si="6"/>
        <v>1000</v>
      </c>
      <c r="J204" s="4">
        <f t="shared" si="7"/>
        <v>15</v>
      </c>
      <c r="K204" t="str">
        <f>IF(RetailSales[[#This Row],[Age]]&lt;30,"Young Adult",IF(RetailSales[[#This Row],[Age]]&lt;50,"Adult","Senior"))</f>
        <v>Senior</v>
      </c>
      <c r="L204" t="str">
        <f>_xlfn.CONCAT(I204,"_",RetailSales[[#This Row],[Product Category]])</f>
        <v>1000_Clothing</v>
      </c>
    </row>
    <row r="205" spans="1:12">
      <c r="A205">
        <v>204</v>
      </c>
      <c r="B205">
        <v>45197</v>
      </c>
      <c r="C205" t="s">
        <v>232</v>
      </c>
      <c r="D205" t="s">
        <v>13</v>
      </c>
      <c r="E205">
        <v>39</v>
      </c>
      <c r="F205" t="s">
        <v>14</v>
      </c>
      <c r="G205">
        <v>1</v>
      </c>
      <c r="H205">
        <v>25</v>
      </c>
      <c r="I205">
        <f t="shared" si="6"/>
        <v>25</v>
      </c>
      <c r="J205" s="4">
        <f t="shared" si="7"/>
        <v>0.375</v>
      </c>
      <c r="K205" t="str">
        <f>IF(RetailSales[[#This Row],[Age]]&lt;30,"Young Adult",IF(RetailSales[[#This Row],[Age]]&lt;50,"Adult","Senior"))</f>
        <v>Adult</v>
      </c>
      <c r="L205" t="str">
        <f>_xlfn.CONCAT(I205,"_",RetailSales[[#This Row],[Product Category]])</f>
        <v>25_Beauty</v>
      </c>
    </row>
    <row r="206" spans="1:12">
      <c r="A206">
        <v>205</v>
      </c>
      <c r="B206">
        <v>45237</v>
      </c>
      <c r="C206" t="s">
        <v>233</v>
      </c>
      <c r="D206" t="s">
        <v>17</v>
      </c>
      <c r="E206">
        <v>43</v>
      </c>
      <c r="F206" t="s">
        <v>18</v>
      </c>
      <c r="G206">
        <v>1</v>
      </c>
      <c r="H206">
        <v>25</v>
      </c>
      <c r="I206">
        <f t="shared" si="6"/>
        <v>25</v>
      </c>
      <c r="J206" s="4">
        <f t="shared" si="7"/>
        <v>0.375</v>
      </c>
      <c r="K206" t="str">
        <f>IF(RetailSales[[#This Row],[Age]]&lt;30,"Young Adult",IF(RetailSales[[#This Row],[Age]]&lt;50,"Adult","Senior"))</f>
        <v>Adult</v>
      </c>
      <c r="L206" t="str">
        <f>_xlfn.CONCAT(I206,"_",RetailSales[[#This Row],[Product Category]])</f>
        <v>25_Clothing</v>
      </c>
    </row>
    <row r="207" spans="1:12">
      <c r="A207">
        <v>206</v>
      </c>
      <c r="B207">
        <v>45143</v>
      </c>
      <c r="C207" t="s">
        <v>234</v>
      </c>
      <c r="D207" t="s">
        <v>13</v>
      </c>
      <c r="E207">
        <v>61</v>
      </c>
      <c r="F207" t="s">
        <v>18</v>
      </c>
      <c r="G207">
        <v>1</v>
      </c>
      <c r="H207">
        <v>25</v>
      </c>
      <c r="I207">
        <f t="shared" si="6"/>
        <v>25</v>
      </c>
      <c r="J207" s="4">
        <f t="shared" si="7"/>
        <v>0.375</v>
      </c>
      <c r="K207" t="str">
        <f>IF(RetailSales[[#This Row],[Age]]&lt;30,"Young Adult",IF(RetailSales[[#This Row],[Age]]&lt;50,"Adult","Senior"))</f>
        <v>Senior</v>
      </c>
      <c r="L207" t="str">
        <f>_xlfn.CONCAT(I207,"_",RetailSales[[#This Row],[Product Category]])</f>
        <v>25_Clothing</v>
      </c>
    </row>
    <row r="208" spans="1:12">
      <c r="A208">
        <v>207</v>
      </c>
      <c r="B208">
        <v>45035</v>
      </c>
      <c r="C208" t="s">
        <v>235</v>
      </c>
      <c r="D208" t="s">
        <v>17</v>
      </c>
      <c r="E208">
        <v>42</v>
      </c>
      <c r="F208" t="s">
        <v>14</v>
      </c>
      <c r="G208">
        <v>2</v>
      </c>
      <c r="H208">
        <v>25</v>
      </c>
      <c r="I208">
        <f t="shared" si="6"/>
        <v>50</v>
      </c>
      <c r="J208" s="4">
        <f t="shared" si="7"/>
        <v>0.75</v>
      </c>
      <c r="K208" t="str">
        <f>IF(RetailSales[[#This Row],[Age]]&lt;30,"Young Adult",IF(RetailSales[[#This Row],[Age]]&lt;50,"Adult","Senior"))</f>
        <v>Adult</v>
      </c>
      <c r="L208" t="str">
        <f>_xlfn.CONCAT(I208,"_",RetailSales[[#This Row],[Product Category]])</f>
        <v>50_Beauty</v>
      </c>
    </row>
    <row r="209" spans="1:12">
      <c r="A209">
        <v>208</v>
      </c>
      <c r="B209">
        <v>45203</v>
      </c>
      <c r="C209" t="s">
        <v>236</v>
      </c>
      <c r="D209" t="s">
        <v>17</v>
      </c>
      <c r="E209">
        <v>34</v>
      </c>
      <c r="F209" t="s">
        <v>20</v>
      </c>
      <c r="G209">
        <v>4</v>
      </c>
      <c r="H209">
        <v>50</v>
      </c>
      <c r="I209">
        <f t="shared" si="6"/>
        <v>200</v>
      </c>
      <c r="J209" s="4">
        <f t="shared" si="7"/>
        <v>3</v>
      </c>
      <c r="K209" t="str">
        <f>IF(RetailSales[[#This Row],[Age]]&lt;30,"Young Adult",IF(RetailSales[[#This Row],[Age]]&lt;50,"Adult","Senior"))</f>
        <v>Adult</v>
      </c>
      <c r="L209" t="str">
        <f>_xlfn.CONCAT(I209,"_",RetailSales[[#This Row],[Product Category]])</f>
        <v>200_Electronics</v>
      </c>
    </row>
    <row r="210" spans="1:12">
      <c r="A210">
        <v>209</v>
      </c>
      <c r="B210">
        <v>45280</v>
      </c>
      <c r="C210" t="s">
        <v>237</v>
      </c>
      <c r="D210" t="s">
        <v>17</v>
      </c>
      <c r="E210">
        <v>30</v>
      </c>
      <c r="F210" t="s">
        <v>20</v>
      </c>
      <c r="G210">
        <v>4</v>
      </c>
      <c r="H210">
        <v>50</v>
      </c>
      <c r="I210">
        <f t="shared" si="6"/>
        <v>200</v>
      </c>
      <c r="J210" s="4">
        <f t="shared" si="7"/>
        <v>3</v>
      </c>
      <c r="K210" t="str">
        <f>IF(RetailSales[[#This Row],[Age]]&lt;30,"Young Adult",IF(RetailSales[[#This Row],[Age]]&lt;50,"Adult","Senior"))</f>
        <v>Adult</v>
      </c>
      <c r="L210" t="str">
        <f>_xlfn.CONCAT(I210,"_",RetailSales[[#This Row],[Product Category]])</f>
        <v>200_Electronics</v>
      </c>
    </row>
    <row r="211" spans="1:12">
      <c r="A211">
        <v>210</v>
      </c>
      <c r="B211">
        <v>45029</v>
      </c>
      <c r="C211" t="s">
        <v>238</v>
      </c>
      <c r="D211" t="s">
        <v>13</v>
      </c>
      <c r="E211">
        <v>37</v>
      </c>
      <c r="F211" t="s">
        <v>20</v>
      </c>
      <c r="G211">
        <v>4</v>
      </c>
      <c r="H211">
        <v>50</v>
      </c>
      <c r="I211">
        <f t="shared" si="6"/>
        <v>200</v>
      </c>
      <c r="J211" s="4">
        <f t="shared" si="7"/>
        <v>3</v>
      </c>
      <c r="K211" t="str">
        <f>IF(RetailSales[[#This Row],[Age]]&lt;30,"Young Adult",IF(RetailSales[[#This Row],[Age]]&lt;50,"Adult","Senior"))</f>
        <v>Adult</v>
      </c>
      <c r="L211" t="str">
        <f>_xlfn.CONCAT(I211,"_",RetailSales[[#This Row],[Product Category]])</f>
        <v>200_Electronics</v>
      </c>
    </row>
    <row r="212" spans="1:12">
      <c r="A212">
        <v>211</v>
      </c>
      <c r="B212">
        <v>45292</v>
      </c>
      <c r="C212" t="s">
        <v>239</v>
      </c>
      <c r="D212" t="s">
        <v>13</v>
      </c>
      <c r="E212">
        <v>42</v>
      </c>
      <c r="F212" t="s">
        <v>14</v>
      </c>
      <c r="G212">
        <v>3</v>
      </c>
      <c r="H212">
        <v>500</v>
      </c>
      <c r="I212">
        <f t="shared" si="6"/>
        <v>1500</v>
      </c>
      <c r="J212" s="4">
        <f t="shared" si="7"/>
        <v>22.5</v>
      </c>
      <c r="K212" t="str">
        <f>IF(RetailSales[[#This Row],[Age]]&lt;30,"Young Adult",IF(RetailSales[[#This Row],[Age]]&lt;50,"Adult","Senior"))</f>
        <v>Adult</v>
      </c>
      <c r="L212" t="str">
        <f>_xlfn.CONCAT(I212,"_",RetailSales[[#This Row],[Product Category]])</f>
        <v>1500_Beauty</v>
      </c>
    </row>
    <row r="213" spans="1:12">
      <c r="A213">
        <v>212</v>
      </c>
      <c r="B213">
        <v>45086</v>
      </c>
      <c r="C213" t="s">
        <v>240</v>
      </c>
      <c r="D213" t="s">
        <v>13</v>
      </c>
      <c r="E213">
        <v>21</v>
      </c>
      <c r="F213" t="s">
        <v>18</v>
      </c>
      <c r="G213">
        <v>3</v>
      </c>
      <c r="H213">
        <v>500</v>
      </c>
      <c r="I213">
        <f t="shared" si="6"/>
        <v>1500</v>
      </c>
      <c r="J213" s="4">
        <f t="shared" si="7"/>
        <v>22.5</v>
      </c>
      <c r="K213" t="str">
        <f>IF(RetailSales[[#This Row],[Age]]&lt;30,"Young Adult",IF(RetailSales[[#This Row],[Age]]&lt;50,"Adult","Senior"))</f>
        <v>Young Adult</v>
      </c>
      <c r="L213" t="str">
        <f>_xlfn.CONCAT(I213,"_",RetailSales[[#This Row],[Product Category]])</f>
        <v>1500_Clothing</v>
      </c>
    </row>
    <row r="214" spans="1:12">
      <c r="A214">
        <v>213</v>
      </c>
      <c r="B214">
        <v>45131</v>
      </c>
      <c r="C214" t="s">
        <v>241</v>
      </c>
      <c r="D214" t="s">
        <v>13</v>
      </c>
      <c r="E214">
        <v>27</v>
      </c>
      <c r="F214" t="s">
        <v>14</v>
      </c>
      <c r="G214">
        <v>3</v>
      </c>
      <c r="H214">
        <v>500</v>
      </c>
      <c r="I214">
        <f t="shared" si="6"/>
        <v>1500</v>
      </c>
      <c r="J214" s="4">
        <f t="shared" si="7"/>
        <v>22.5</v>
      </c>
      <c r="K214" t="str">
        <f>IF(RetailSales[[#This Row],[Age]]&lt;30,"Young Adult",IF(RetailSales[[#This Row],[Age]]&lt;50,"Adult","Senior"))</f>
        <v>Young Adult</v>
      </c>
      <c r="L214" t="str">
        <f>_xlfn.CONCAT(I214,"_",RetailSales[[#This Row],[Product Category]])</f>
        <v>1500_Beauty</v>
      </c>
    </row>
    <row r="215" spans="1:12">
      <c r="A215">
        <v>214</v>
      </c>
      <c r="B215">
        <v>45270</v>
      </c>
      <c r="C215" t="s">
        <v>242</v>
      </c>
      <c r="D215" t="s">
        <v>13</v>
      </c>
      <c r="E215">
        <v>20</v>
      </c>
      <c r="F215" t="s">
        <v>14</v>
      </c>
      <c r="G215">
        <v>2</v>
      </c>
      <c r="H215">
        <v>30</v>
      </c>
      <c r="I215">
        <f t="shared" si="6"/>
        <v>60</v>
      </c>
      <c r="J215" s="4">
        <f t="shared" si="7"/>
        <v>0.89999999999999991</v>
      </c>
      <c r="K215" t="str">
        <f>IF(RetailSales[[#This Row],[Age]]&lt;30,"Young Adult",IF(RetailSales[[#This Row],[Age]]&lt;50,"Adult","Senior"))</f>
        <v>Young Adult</v>
      </c>
      <c r="L215" t="str">
        <f>_xlfn.CONCAT(I215,"_",RetailSales[[#This Row],[Product Category]])</f>
        <v>60_Beauty</v>
      </c>
    </row>
    <row r="216" spans="1:12">
      <c r="A216">
        <v>215</v>
      </c>
      <c r="B216">
        <v>45259</v>
      </c>
      <c r="C216" t="s">
        <v>243</v>
      </c>
      <c r="D216" t="s">
        <v>13</v>
      </c>
      <c r="E216">
        <v>58</v>
      </c>
      <c r="F216" t="s">
        <v>18</v>
      </c>
      <c r="G216">
        <v>3</v>
      </c>
      <c r="H216">
        <v>500</v>
      </c>
      <c r="I216">
        <f t="shared" si="6"/>
        <v>1500</v>
      </c>
      <c r="J216" s="4">
        <f t="shared" si="7"/>
        <v>22.5</v>
      </c>
      <c r="K216" t="str">
        <f>IF(RetailSales[[#This Row],[Age]]&lt;30,"Young Adult",IF(RetailSales[[#This Row],[Age]]&lt;50,"Adult","Senior"))</f>
        <v>Senior</v>
      </c>
      <c r="L216" t="str">
        <f>_xlfn.CONCAT(I216,"_",RetailSales[[#This Row],[Product Category]])</f>
        <v>1500_Clothing</v>
      </c>
    </row>
    <row r="217" spans="1:12">
      <c r="A217">
        <v>216</v>
      </c>
      <c r="B217">
        <v>45118</v>
      </c>
      <c r="C217" t="s">
        <v>244</v>
      </c>
      <c r="D217" t="s">
        <v>13</v>
      </c>
      <c r="E217">
        <v>62</v>
      </c>
      <c r="F217" t="s">
        <v>20</v>
      </c>
      <c r="G217">
        <v>2</v>
      </c>
      <c r="H217">
        <v>50</v>
      </c>
      <c r="I217">
        <f t="shared" si="6"/>
        <v>100</v>
      </c>
      <c r="J217" s="4">
        <f t="shared" si="7"/>
        <v>1.5</v>
      </c>
      <c r="K217" t="str">
        <f>IF(RetailSales[[#This Row],[Age]]&lt;30,"Young Adult",IF(RetailSales[[#This Row],[Age]]&lt;50,"Adult","Senior"))</f>
        <v>Senior</v>
      </c>
      <c r="L217" t="str">
        <f>_xlfn.CONCAT(I217,"_",RetailSales[[#This Row],[Product Category]])</f>
        <v>100_Electronics</v>
      </c>
    </row>
    <row r="218" spans="1:12">
      <c r="A218">
        <v>217</v>
      </c>
      <c r="B218">
        <v>45151</v>
      </c>
      <c r="C218" t="s">
        <v>245</v>
      </c>
      <c r="D218" t="s">
        <v>17</v>
      </c>
      <c r="E218">
        <v>35</v>
      </c>
      <c r="F218" t="s">
        <v>20</v>
      </c>
      <c r="G218">
        <v>4</v>
      </c>
      <c r="H218">
        <v>50</v>
      </c>
      <c r="I218">
        <f t="shared" si="6"/>
        <v>200</v>
      </c>
      <c r="J218" s="4">
        <f t="shared" si="7"/>
        <v>3</v>
      </c>
      <c r="K218" t="str">
        <f>IF(RetailSales[[#This Row],[Age]]&lt;30,"Young Adult",IF(RetailSales[[#This Row],[Age]]&lt;50,"Adult","Senior"))</f>
        <v>Adult</v>
      </c>
      <c r="L218" t="str">
        <f>_xlfn.CONCAT(I218,"_",RetailSales[[#This Row],[Product Category]])</f>
        <v>200_Electronics</v>
      </c>
    </row>
    <row r="219" spans="1:12">
      <c r="A219">
        <v>218</v>
      </c>
      <c r="B219">
        <v>45191</v>
      </c>
      <c r="C219" t="s">
        <v>246</v>
      </c>
      <c r="D219" t="s">
        <v>13</v>
      </c>
      <c r="E219">
        <v>64</v>
      </c>
      <c r="F219" t="s">
        <v>14</v>
      </c>
      <c r="G219">
        <v>3</v>
      </c>
      <c r="H219">
        <v>30</v>
      </c>
      <c r="I219">
        <f t="shared" si="6"/>
        <v>90</v>
      </c>
      <c r="J219" s="4">
        <f t="shared" si="7"/>
        <v>1.3499999999999999</v>
      </c>
      <c r="K219" t="str">
        <f>IF(RetailSales[[#This Row],[Age]]&lt;30,"Young Adult",IF(RetailSales[[#This Row],[Age]]&lt;50,"Adult","Senior"))</f>
        <v>Senior</v>
      </c>
      <c r="L219" t="str">
        <f>_xlfn.CONCAT(I219,"_",RetailSales[[#This Row],[Product Category]])</f>
        <v>90_Beauty</v>
      </c>
    </row>
    <row r="220" spans="1:12">
      <c r="A220">
        <v>219</v>
      </c>
      <c r="B220">
        <v>45158</v>
      </c>
      <c r="C220" t="s">
        <v>247</v>
      </c>
      <c r="D220" t="s">
        <v>17</v>
      </c>
      <c r="E220">
        <v>53</v>
      </c>
      <c r="F220" t="s">
        <v>20</v>
      </c>
      <c r="G220">
        <v>3</v>
      </c>
      <c r="H220">
        <v>30</v>
      </c>
      <c r="I220">
        <f t="shared" si="6"/>
        <v>90</v>
      </c>
      <c r="J220" s="4">
        <f t="shared" si="7"/>
        <v>1.3499999999999999</v>
      </c>
      <c r="K220" t="str">
        <f>IF(RetailSales[[#This Row],[Age]]&lt;30,"Young Adult",IF(RetailSales[[#This Row],[Age]]&lt;50,"Adult","Senior"))</f>
        <v>Senior</v>
      </c>
      <c r="L220" t="str">
        <f>_xlfn.CONCAT(I220,"_",RetailSales[[#This Row],[Product Category]])</f>
        <v>90_Electronics</v>
      </c>
    </row>
    <row r="221" spans="1:12">
      <c r="A221">
        <v>220</v>
      </c>
      <c r="B221">
        <v>44988</v>
      </c>
      <c r="C221" t="s">
        <v>248</v>
      </c>
      <c r="D221" t="s">
        <v>13</v>
      </c>
      <c r="E221">
        <v>64</v>
      </c>
      <c r="F221" t="s">
        <v>14</v>
      </c>
      <c r="G221">
        <v>1</v>
      </c>
      <c r="H221">
        <v>500</v>
      </c>
      <c r="I221">
        <f t="shared" si="6"/>
        <v>500</v>
      </c>
      <c r="J221" s="4">
        <f t="shared" si="7"/>
        <v>7.5</v>
      </c>
      <c r="K221" t="str">
        <f>IF(RetailSales[[#This Row],[Age]]&lt;30,"Young Adult",IF(RetailSales[[#This Row],[Age]]&lt;50,"Adult","Senior"))</f>
        <v>Senior</v>
      </c>
      <c r="L221" t="str">
        <f>_xlfn.CONCAT(I221,"_",RetailSales[[#This Row],[Product Category]])</f>
        <v>500_Beauty</v>
      </c>
    </row>
    <row r="222" spans="1:12">
      <c r="A222">
        <v>221</v>
      </c>
      <c r="B222">
        <v>45053</v>
      </c>
      <c r="C222" t="s">
        <v>249</v>
      </c>
      <c r="D222" t="s">
        <v>13</v>
      </c>
      <c r="E222">
        <v>39</v>
      </c>
      <c r="F222" t="s">
        <v>14</v>
      </c>
      <c r="G222">
        <v>2</v>
      </c>
      <c r="H222">
        <v>300</v>
      </c>
      <c r="I222">
        <f t="shared" si="6"/>
        <v>600</v>
      </c>
      <c r="J222" s="4">
        <f t="shared" si="7"/>
        <v>9</v>
      </c>
      <c r="K222" t="str">
        <f>IF(RetailSales[[#This Row],[Age]]&lt;30,"Young Adult",IF(RetailSales[[#This Row],[Age]]&lt;50,"Adult","Senior"))</f>
        <v>Adult</v>
      </c>
      <c r="L222" t="str">
        <f>_xlfn.CONCAT(I222,"_",RetailSales[[#This Row],[Product Category]])</f>
        <v>600_Beauty</v>
      </c>
    </row>
    <row r="223" spans="1:12">
      <c r="A223">
        <v>222</v>
      </c>
      <c r="B223">
        <v>45042</v>
      </c>
      <c r="C223" t="s">
        <v>250</v>
      </c>
      <c r="D223" t="s">
        <v>13</v>
      </c>
      <c r="E223">
        <v>51</v>
      </c>
      <c r="F223" t="s">
        <v>18</v>
      </c>
      <c r="G223">
        <v>4</v>
      </c>
      <c r="H223">
        <v>30</v>
      </c>
      <c r="I223">
        <f t="shared" si="6"/>
        <v>120</v>
      </c>
      <c r="J223" s="4">
        <f t="shared" si="7"/>
        <v>1.7999999999999998</v>
      </c>
      <c r="K223" t="str">
        <f>IF(RetailSales[[#This Row],[Age]]&lt;30,"Young Adult",IF(RetailSales[[#This Row],[Age]]&lt;50,"Adult","Senior"))</f>
        <v>Senior</v>
      </c>
      <c r="L223" t="str">
        <f>_xlfn.CONCAT(I223,"_",RetailSales[[#This Row],[Product Category]])</f>
        <v>120_Clothing</v>
      </c>
    </row>
    <row r="224" spans="1:12">
      <c r="A224">
        <v>223</v>
      </c>
      <c r="B224">
        <v>44959</v>
      </c>
      <c r="C224" t="s">
        <v>251</v>
      </c>
      <c r="D224" t="s">
        <v>17</v>
      </c>
      <c r="E224">
        <v>64</v>
      </c>
      <c r="F224" t="s">
        <v>18</v>
      </c>
      <c r="G224">
        <v>1</v>
      </c>
      <c r="H224">
        <v>25</v>
      </c>
      <c r="I224">
        <f t="shared" si="6"/>
        <v>25</v>
      </c>
      <c r="J224" s="4">
        <f t="shared" si="7"/>
        <v>0.375</v>
      </c>
      <c r="K224" t="str">
        <f>IF(RetailSales[[#This Row],[Age]]&lt;30,"Young Adult",IF(RetailSales[[#This Row],[Age]]&lt;50,"Adult","Senior"))</f>
        <v>Senior</v>
      </c>
      <c r="L224" t="str">
        <f>_xlfn.CONCAT(I224,"_",RetailSales[[#This Row],[Product Category]])</f>
        <v>25_Clothing</v>
      </c>
    </row>
    <row r="225" spans="1:12">
      <c r="A225">
        <v>224</v>
      </c>
      <c r="B225">
        <v>45100</v>
      </c>
      <c r="C225" t="s">
        <v>252</v>
      </c>
      <c r="D225" t="s">
        <v>17</v>
      </c>
      <c r="E225">
        <v>25</v>
      </c>
      <c r="F225" t="s">
        <v>18</v>
      </c>
      <c r="G225">
        <v>1</v>
      </c>
      <c r="H225">
        <v>50</v>
      </c>
      <c r="I225">
        <f t="shared" si="6"/>
        <v>50</v>
      </c>
      <c r="J225" s="4">
        <f t="shared" si="7"/>
        <v>0.75</v>
      </c>
      <c r="K225" t="str">
        <f>IF(RetailSales[[#This Row],[Age]]&lt;30,"Young Adult",IF(RetailSales[[#This Row],[Age]]&lt;50,"Adult","Senior"))</f>
        <v>Young Adult</v>
      </c>
      <c r="L225" t="str">
        <f>_xlfn.CONCAT(I225,"_",RetailSales[[#This Row],[Product Category]])</f>
        <v>50_Clothing</v>
      </c>
    </row>
    <row r="226" spans="1:12">
      <c r="A226">
        <v>225</v>
      </c>
      <c r="B226">
        <v>44937</v>
      </c>
      <c r="C226" t="s">
        <v>253</v>
      </c>
      <c r="D226" t="s">
        <v>17</v>
      </c>
      <c r="E226">
        <v>57</v>
      </c>
      <c r="F226" t="s">
        <v>14</v>
      </c>
      <c r="G226">
        <v>4</v>
      </c>
      <c r="H226">
        <v>25</v>
      </c>
      <c r="I226">
        <f t="shared" si="6"/>
        <v>100</v>
      </c>
      <c r="J226" s="4">
        <f t="shared" si="7"/>
        <v>1.5</v>
      </c>
      <c r="K226" t="str">
        <f>IF(RetailSales[[#This Row],[Age]]&lt;30,"Young Adult",IF(RetailSales[[#This Row],[Age]]&lt;50,"Adult","Senior"))</f>
        <v>Senior</v>
      </c>
      <c r="L226" t="str">
        <f>_xlfn.CONCAT(I226,"_",RetailSales[[#This Row],[Product Category]])</f>
        <v>100_Beauty</v>
      </c>
    </row>
    <row r="227" spans="1:12">
      <c r="A227">
        <v>226</v>
      </c>
      <c r="B227">
        <v>45228</v>
      </c>
      <c r="C227" t="s">
        <v>254</v>
      </c>
      <c r="D227" t="s">
        <v>17</v>
      </c>
      <c r="E227">
        <v>61</v>
      </c>
      <c r="F227" t="s">
        <v>18</v>
      </c>
      <c r="G227">
        <v>1</v>
      </c>
      <c r="H227">
        <v>50</v>
      </c>
      <c r="I227">
        <f t="shared" si="6"/>
        <v>50</v>
      </c>
      <c r="J227" s="4">
        <f t="shared" si="7"/>
        <v>0.75</v>
      </c>
      <c r="K227" t="str">
        <f>IF(RetailSales[[#This Row],[Age]]&lt;30,"Young Adult",IF(RetailSales[[#This Row],[Age]]&lt;50,"Adult","Senior"))</f>
        <v>Senior</v>
      </c>
      <c r="L227" t="str">
        <f>_xlfn.CONCAT(I227,"_",RetailSales[[#This Row],[Product Category]])</f>
        <v>50_Clothing</v>
      </c>
    </row>
    <row r="228" spans="1:12">
      <c r="A228">
        <v>227</v>
      </c>
      <c r="B228">
        <v>45210</v>
      </c>
      <c r="C228" t="s">
        <v>255</v>
      </c>
      <c r="D228" t="s">
        <v>13</v>
      </c>
      <c r="E228">
        <v>36</v>
      </c>
      <c r="F228" t="s">
        <v>20</v>
      </c>
      <c r="G228">
        <v>2</v>
      </c>
      <c r="H228">
        <v>50</v>
      </c>
      <c r="I228">
        <f t="shared" si="6"/>
        <v>100</v>
      </c>
      <c r="J228" s="4">
        <f t="shared" si="7"/>
        <v>1.5</v>
      </c>
      <c r="K228" t="str">
        <f>IF(RetailSales[[#This Row],[Age]]&lt;30,"Young Adult",IF(RetailSales[[#This Row],[Age]]&lt;50,"Adult","Senior"))</f>
        <v>Adult</v>
      </c>
      <c r="L228" t="str">
        <f>_xlfn.CONCAT(I228,"_",RetailSales[[#This Row],[Product Category]])</f>
        <v>100_Electronics</v>
      </c>
    </row>
    <row r="229" spans="1:12">
      <c r="A229">
        <v>228</v>
      </c>
      <c r="B229">
        <v>45044</v>
      </c>
      <c r="C229" t="s">
        <v>256</v>
      </c>
      <c r="D229" t="s">
        <v>17</v>
      </c>
      <c r="E229">
        <v>59</v>
      </c>
      <c r="F229" t="s">
        <v>20</v>
      </c>
      <c r="G229">
        <v>2</v>
      </c>
      <c r="H229">
        <v>30</v>
      </c>
      <c r="I229">
        <f t="shared" si="6"/>
        <v>60</v>
      </c>
      <c r="J229" s="4">
        <f t="shared" si="7"/>
        <v>0.89999999999999991</v>
      </c>
      <c r="K229" t="str">
        <f>IF(RetailSales[[#This Row],[Age]]&lt;30,"Young Adult",IF(RetailSales[[#This Row],[Age]]&lt;50,"Adult","Senior"))</f>
        <v>Senior</v>
      </c>
      <c r="L229" t="str">
        <f>_xlfn.CONCAT(I229,"_",RetailSales[[#This Row],[Product Category]])</f>
        <v>60_Electronics</v>
      </c>
    </row>
    <row r="230" spans="1:12">
      <c r="A230">
        <v>229</v>
      </c>
      <c r="B230">
        <v>45228</v>
      </c>
      <c r="C230" t="s">
        <v>257</v>
      </c>
      <c r="D230" t="s">
        <v>13</v>
      </c>
      <c r="E230">
        <v>58</v>
      </c>
      <c r="F230" t="s">
        <v>14</v>
      </c>
      <c r="G230">
        <v>3</v>
      </c>
      <c r="H230">
        <v>30</v>
      </c>
      <c r="I230">
        <f t="shared" si="6"/>
        <v>90</v>
      </c>
      <c r="J230" s="4">
        <f t="shared" si="7"/>
        <v>1.3499999999999999</v>
      </c>
      <c r="K230" t="str">
        <f>IF(RetailSales[[#This Row],[Age]]&lt;30,"Young Adult",IF(RetailSales[[#This Row],[Age]]&lt;50,"Adult","Senior"))</f>
        <v>Senior</v>
      </c>
      <c r="L230" t="str">
        <f>_xlfn.CONCAT(I230,"_",RetailSales[[#This Row],[Product Category]])</f>
        <v>90_Beauty</v>
      </c>
    </row>
    <row r="231" spans="1:12">
      <c r="A231">
        <v>230</v>
      </c>
      <c r="B231">
        <v>45039</v>
      </c>
      <c r="C231" t="s">
        <v>258</v>
      </c>
      <c r="D231" t="s">
        <v>13</v>
      </c>
      <c r="E231">
        <v>54</v>
      </c>
      <c r="F231" t="s">
        <v>14</v>
      </c>
      <c r="G231">
        <v>1</v>
      </c>
      <c r="H231">
        <v>25</v>
      </c>
      <c r="I231">
        <f t="shared" si="6"/>
        <v>25</v>
      </c>
      <c r="J231" s="4">
        <f t="shared" si="7"/>
        <v>0.375</v>
      </c>
      <c r="K231" t="str">
        <f>IF(RetailSales[[#This Row],[Age]]&lt;30,"Young Adult",IF(RetailSales[[#This Row],[Age]]&lt;50,"Adult","Senior"))</f>
        <v>Senior</v>
      </c>
      <c r="L231" t="str">
        <f>_xlfn.CONCAT(I231,"_",RetailSales[[#This Row],[Product Category]])</f>
        <v>25_Beauty</v>
      </c>
    </row>
    <row r="232" spans="1:12">
      <c r="A232">
        <v>231</v>
      </c>
      <c r="B232">
        <v>44930</v>
      </c>
      <c r="C232" t="s">
        <v>259</v>
      </c>
      <c r="D232" t="s">
        <v>17</v>
      </c>
      <c r="E232">
        <v>23</v>
      </c>
      <c r="F232" t="s">
        <v>18</v>
      </c>
      <c r="G232">
        <v>3</v>
      </c>
      <c r="H232">
        <v>50</v>
      </c>
      <c r="I232">
        <f t="shared" si="6"/>
        <v>150</v>
      </c>
      <c r="J232" s="4">
        <f t="shared" si="7"/>
        <v>2.25</v>
      </c>
      <c r="K232" t="str">
        <f>IF(RetailSales[[#This Row],[Age]]&lt;30,"Young Adult",IF(RetailSales[[#This Row],[Age]]&lt;50,"Adult","Senior"))</f>
        <v>Young Adult</v>
      </c>
      <c r="L232" t="str">
        <f>_xlfn.CONCAT(I232,"_",RetailSales[[#This Row],[Product Category]])</f>
        <v>150_Clothing</v>
      </c>
    </row>
    <row r="233" spans="1:12">
      <c r="A233">
        <v>232</v>
      </c>
      <c r="B233">
        <v>44963</v>
      </c>
      <c r="C233" t="s">
        <v>260</v>
      </c>
      <c r="D233" t="s">
        <v>17</v>
      </c>
      <c r="E233">
        <v>43</v>
      </c>
      <c r="F233" t="s">
        <v>14</v>
      </c>
      <c r="G233">
        <v>1</v>
      </c>
      <c r="H233">
        <v>25</v>
      </c>
      <c r="I233">
        <f t="shared" si="6"/>
        <v>25</v>
      </c>
      <c r="J233" s="4">
        <f t="shared" si="7"/>
        <v>0.375</v>
      </c>
      <c r="K233" t="str">
        <f>IF(RetailSales[[#This Row],[Age]]&lt;30,"Young Adult",IF(RetailSales[[#This Row],[Age]]&lt;50,"Adult","Senior"))</f>
        <v>Adult</v>
      </c>
      <c r="L233" t="str">
        <f>_xlfn.CONCAT(I233,"_",RetailSales[[#This Row],[Product Category]])</f>
        <v>25_Beauty</v>
      </c>
    </row>
    <row r="234" spans="1:12">
      <c r="A234">
        <v>233</v>
      </c>
      <c r="B234">
        <v>45289</v>
      </c>
      <c r="C234" t="s">
        <v>261</v>
      </c>
      <c r="D234" t="s">
        <v>17</v>
      </c>
      <c r="E234">
        <v>51</v>
      </c>
      <c r="F234" t="s">
        <v>14</v>
      </c>
      <c r="G234">
        <v>2</v>
      </c>
      <c r="H234">
        <v>300</v>
      </c>
      <c r="I234">
        <f t="shared" si="6"/>
        <v>600</v>
      </c>
      <c r="J234" s="4">
        <f t="shared" si="7"/>
        <v>9</v>
      </c>
      <c r="K234" t="str">
        <f>IF(RetailSales[[#This Row],[Age]]&lt;30,"Young Adult",IF(RetailSales[[#This Row],[Age]]&lt;50,"Adult","Senior"))</f>
        <v>Senior</v>
      </c>
      <c r="L234" t="str">
        <f>_xlfn.CONCAT(I234,"_",RetailSales[[#This Row],[Product Category]])</f>
        <v>600_Beauty</v>
      </c>
    </row>
    <row r="235" spans="1:12">
      <c r="A235">
        <v>234</v>
      </c>
      <c r="B235">
        <v>45250</v>
      </c>
      <c r="C235" t="s">
        <v>262</v>
      </c>
      <c r="D235" t="s">
        <v>17</v>
      </c>
      <c r="E235">
        <v>62</v>
      </c>
      <c r="F235" t="s">
        <v>20</v>
      </c>
      <c r="G235">
        <v>2</v>
      </c>
      <c r="H235">
        <v>25</v>
      </c>
      <c r="I235">
        <f t="shared" si="6"/>
        <v>50</v>
      </c>
      <c r="J235" s="4">
        <f t="shared" si="7"/>
        <v>0.75</v>
      </c>
      <c r="K235" t="str">
        <f>IF(RetailSales[[#This Row],[Age]]&lt;30,"Young Adult",IF(RetailSales[[#This Row],[Age]]&lt;50,"Adult","Senior"))</f>
        <v>Senior</v>
      </c>
      <c r="L235" t="str">
        <f>_xlfn.CONCAT(I235,"_",RetailSales[[#This Row],[Product Category]])</f>
        <v>50_Electronics</v>
      </c>
    </row>
    <row r="236" spans="1:12">
      <c r="A236">
        <v>235</v>
      </c>
      <c r="B236">
        <v>44957</v>
      </c>
      <c r="C236" t="s">
        <v>263</v>
      </c>
      <c r="D236" t="s">
        <v>17</v>
      </c>
      <c r="E236">
        <v>23</v>
      </c>
      <c r="F236" t="s">
        <v>20</v>
      </c>
      <c r="G236">
        <v>2</v>
      </c>
      <c r="H236">
        <v>500</v>
      </c>
      <c r="I236">
        <f t="shared" si="6"/>
        <v>1000</v>
      </c>
      <c r="J236" s="4">
        <f t="shared" si="7"/>
        <v>15</v>
      </c>
      <c r="K236" t="str">
        <f>IF(RetailSales[[#This Row],[Age]]&lt;30,"Young Adult",IF(RetailSales[[#This Row],[Age]]&lt;50,"Adult","Senior"))</f>
        <v>Young Adult</v>
      </c>
      <c r="L236" t="str">
        <f>_xlfn.CONCAT(I236,"_",RetailSales[[#This Row],[Product Category]])</f>
        <v>1000_Electronics</v>
      </c>
    </row>
    <row r="237" spans="1:12">
      <c r="A237">
        <v>236</v>
      </c>
      <c r="B237">
        <v>45044</v>
      </c>
      <c r="C237" t="s">
        <v>264</v>
      </c>
      <c r="D237" t="s">
        <v>17</v>
      </c>
      <c r="E237">
        <v>54</v>
      </c>
      <c r="F237" t="s">
        <v>18</v>
      </c>
      <c r="G237">
        <v>1</v>
      </c>
      <c r="H237">
        <v>25</v>
      </c>
      <c r="I237">
        <f t="shared" si="6"/>
        <v>25</v>
      </c>
      <c r="J237" s="4">
        <f t="shared" si="7"/>
        <v>0.375</v>
      </c>
      <c r="K237" t="str">
        <f>IF(RetailSales[[#This Row],[Age]]&lt;30,"Young Adult",IF(RetailSales[[#This Row],[Age]]&lt;50,"Adult","Senior"))</f>
        <v>Senior</v>
      </c>
      <c r="L237" t="str">
        <f>_xlfn.CONCAT(I237,"_",RetailSales[[#This Row],[Product Category]])</f>
        <v>25_Clothing</v>
      </c>
    </row>
    <row r="238" spans="1:12">
      <c r="A238">
        <v>237</v>
      </c>
      <c r="B238">
        <v>44961</v>
      </c>
      <c r="C238" t="s">
        <v>265</v>
      </c>
      <c r="D238" t="s">
        <v>17</v>
      </c>
      <c r="E238">
        <v>50</v>
      </c>
      <c r="F238" t="s">
        <v>14</v>
      </c>
      <c r="G238">
        <v>2</v>
      </c>
      <c r="H238">
        <v>500</v>
      </c>
      <c r="I238">
        <f t="shared" si="6"/>
        <v>1000</v>
      </c>
      <c r="J238" s="4">
        <f t="shared" si="7"/>
        <v>15</v>
      </c>
      <c r="K238" t="str">
        <f>IF(RetailSales[[#This Row],[Age]]&lt;30,"Young Adult",IF(RetailSales[[#This Row],[Age]]&lt;50,"Adult","Senior"))</f>
        <v>Senior</v>
      </c>
      <c r="L238" t="str">
        <f>_xlfn.CONCAT(I238,"_",RetailSales[[#This Row],[Product Category]])</f>
        <v>1000_Beauty</v>
      </c>
    </row>
    <row r="239" spans="1:12">
      <c r="A239">
        <v>238</v>
      </c>
      <c r="B239">
        <v>44943</v>
      </c>
      <c r="C239" t="s">
        <v>266</v>
      </c>
      <c r="D239" t="s">
        <v>17</v>
      </c>
      <c r="E239">
        <v>39</v>
      </c>
      <c r="F239" t="s">
        <v>14</v>
      </c>
      <c r="G239">
        <v>1</v>
      </c>
      <c r="H239">
        <v>500</v>
      </c>
      <c r="I239">
        <f t="shared" si="6"/>
        <v>500</v>
      </c>
      <c r="J239" s="4">
        <f t="shared" si="7"/>
        <v>7.5</v>
      </c>
      <c r="K239" t="str">
        <f>IF(RetailSales[[#This Row],[Age]]&lt;30,"Young Adult",IF(RetailSales[[#This Row],[Age]]&lt;50,"Adult","Senior"))</f>
        <v>Adult</v>
      </c>
      <c r="L239" t="str">
        <f>_xlfn.CONCAT(I239,"_",RetailSales[[#This Row],[Product Category]])</f>
        <v>500_Beauty</v>
      </c>
    </row>
    <row r="240" spans="1:12">
      <c r="A240">
        <v>239</v>
      </c>
      <c r="B240">
        <v>45096</v>
      </c>
      <c r="C240" t="s">
        <v>267</v>
      </c>
      <c r="D240" t="s">
        <v>13</v>
      </c>
      <c r="E240">
        <v>38</v>
      </c>
      <c r="F240" t="s">
        <v>20</v>
      </c>
      <c r="G240">
        <v>3</v>
      </c>
      <c r="H240">
        <v>500</v>
      </c>
      <c r="I240">
        <f t="shared" si="6"/>
        <v>1500</v>
      </c>
      <c r="J240" s="4">
        <f t="shared" si="7"/>
        <v>22.5</v>
      </c>
      <c r="K240" t="str">
        <f>IF(RetailSales[[#This Row],[Age]]&lt;30,"Young Adult",IF(RetailSales[[#This Row],[Age]]&lt;50,"Adult","Senior"))</f>
        <v>Adult</v>
      </c>
      <c r="L240" t="str">
        <f>_xlfn.CONCAT(I240,"_",RetailSales[[#This Row],[Product Category]])</f>
        <v>1500_Electronics</v>
      </c>
    </row>
    <row r="241" spans="1:12">
      <c r="A241">
        <v>240</v>
      </c>
      <c r="B241">
        <v>44963</v>
      </c>
      <c r="C241" t="s">
        <v>268</v>
      </c>
      <c r="D241" t="s">
        <v>17</v>
      </c>
      <c r="E241">
        <v>23</v>
      </c>
      <c r="F241" t="s">
        <v>14</v>
      </c>
      <c r="G241">
        <v>1</v>
      </c>
      <c r="H241">
        <v>300</v>
      </c>
      <c r="I241">
        <f t="shared" si="6"/>
        <v>300</v>
      </c>
      <c r="J241" s="4">
        <f t="shared" si="7"/>
        <v>4.5</v>
      </c>
      <c r="K241" t="str">
        <f>IF(RetailSales[[#This Row],[Age]]&lt;30,"Young Adult",IF(RetailSales[[#This Row],[Age]]&lt;50,"Adult","Senior"))</f>
        <v>Young Adult</v>
      </c>
      <c r="L241" t="str">
        <f>_xlfn.CONCAT(I241,"_",RetailSales[[#This Row],[Product Category]])</f>
        <v>300_Beauty</v>
      </c>
    </row>
    <row r="242" spans="1:12">
      <c r="A242">
        <v>241</v>
      </c>
      <c r="B242">
        <v>45190</v>
      </c>
      <c r="C242" t="s">
        <v>269</v>
      </c>
      <c r="D242" t="s">
        <v>17</v>
      </c>
      <c r="E242">
        <v>23</v>
      </c>
      <c r="F242" t="s">
        <v>20</v>
      </c>
      <c r="G242">
        <v>3</v>
      </c>
      <c r="H242">
        <v>25</v>
      </c>
      <c r="I242">
        <f t="shared" si="6"/>
        <v>75</v>
      </c>
      <c r="J242" s="4">
        <f t="shared" si="7"/>
        <v>1.125</v>
      </c>
      <c r="K242" t="str">
        <f>IF(RetailSales[[#This Row],[Age]]&lt;30,"Young Adult",IF(RetailSales[[#This Row],[Age]]&lt;50,"Adult","Senior"))</f>
        <v>Young Adult</v>
      </c>
      <c r="L242" t="str">
        <f>_xlfn.CONCAT(I242,"_",RetailSales[[#This Row],[Product Category]])</f>
        <v>75_Electronics</v>
      </c>
    </row>
    <row r="243" spans="1:12">
      <c r="A243">
        <v>242</v>
      </c>
      <c r="B243">
        <v>45048</v>
      </c>
      <c r="C243" t="s">
        <v>270</v>
      </c>
      <c r="D243" t="s">
        <v>13</v>
      </c>
      <c r="E243">
        <v>21</v>
      </c>
      <c r="F243" t="s">
        <v>18</v>
      </c>
      <c r="G243">
        <v>1</v>
      </c>
      <c r="H243">
        <v>25</v>
      </c>
      <c r="I243">
        <f t="shared" si="6"/>
        <v>25</v>
      </c>
      <c r="J243" s="4">
        <f t="shared" si="7"/>
        <v>0.375</v>
      </c>
      <c r="K243" t="str">
        <f>IF(RetailSales[[#This Row],[Age]]&lt;30,"Young Adult",IF(RetailSales[[#This Row],[Age]]&lt;50,"Adult","Senior"))</f>
        <v>Young Adult</v>
      </c>
      <c r="L243" t="str">
        <f>_xlfn.CONCAT(I243,"_",RetailSales[[#This Row],[Product Category]])</f>
        <v>25_Clothing</v>
      </c>
    </row>
    <row r="244" spans="1:12">
      <c r="A244">
        <v>243</v>
      </c>
      <c r="B244">
        <v>45069</v>
      </c>
      <c r="C244" t="s">
        <v>271</v>
      </c>
      <c r="D244" t="s">
        <v>17</v>
      </c>
      <c r="E244">
        <v>47</v>
      </c>
      <c r="F244" t="s">
        <v>20</v>
      </c>
      <c r="G244">
        <v>3</v>
      </c>
      <c r="H244">
        <v>300</v>
      </c>
      <c r="I244">
        <f t="shared" si="6"/>
        <v>900</v>
      </c>
      <c r="J244" s="4">
        <f t="shared" si="7"/>
        <v>13.5</v>
      </c>
      <c r="K244" t="str">
        <f>IF(RetailSales[[#This Row],[Age]]&lt;30,"Young Adult",IF(RetailSales[[#This Row],[Age]]&lt;50,"Adult","Senior"))</f>
        <v>Adult</v>
      </c>
      <c r="L244" t="str">
        <f>_xlfn.CONCAT(I244,"_",RetailSales[[#This Row],[Product Category]])</f>
        <v>900_Electronics</v>
      </c>
    </row>
    <row r="245" spans="1:12">
      <c r="A245">
        <v>244</v>
      </c>
      <c r="B245">
        <v>45269</v>
      </c>
      <c r="C245" t="s">
        <v>272</v>
      </c>
      <c r="D245" t="s">
        <v>13</v>
      </c>
      <c r="E245">
        <v>28</v>
      </c>
      <c r="F245" t="s">
        <v>14</v>
      </c>
      <c r="G245">
        <v>2</v>
      </c>
      <c r="H245">
        <v>50</v>
      </c>
      <c r="I245">
        <f t="shared" si="6"/>
        <v>100</v>
      </c>
      <c r="J245" s="4">
        <f t="shared" si="7"/>
        <v>1.5</v>
      </c>
      <c r="K245" t="str">
        <f>IF(RetailSales[[#This Row],[Age]]&lt;30,"Young Adult",IF(RetailSales[[#This Row],[Age]]&lt;50,"Adult","Senior"))</f>
        <v>Young Adult</v>
      </c>
      <c r="L245" t="str">
        <f>_xlfn.CONCAT(I245,"_",RetailSales[[#This Row],[Product Category]])</f>
        <v>100_Beauty</v>
      </c>
    </row>
    <row r="246" spans="1:12">
      <c r="A246">
        <v>245</v>
      </c>
      <c r="B246">
        <v>45175</v>
      </c>
      <c r="C246" t="s">
        <v>273</v>
      </c>
      <c r="D246" t="s">
        <v>13</v>
      </c>
      <c r="E246">
        <v>47</v>
      </c>
      <c r="F246" t="s">
        <v>18</v>
      </c>
      <c r="G246">
        <v>3</v>
      </c>
      <c r="H246">
        <v>30</v>
      </c>
      <c r="I246">
        <f t="shared" si="6"/>
        <v>90</v>
      </c>
      <c r="J246" s="4">
        <f t="shared" si="7"/>
        <v>1.3499999999999999</v>
      </c>
      <c r="K246" t="str">
        <f>IF(RetailSales[[#This Row],[Age]]&lt;30,"Young Adult",IF(RetailSales[[#This Row],[Age]]&lt;50,"Adult","Senior"))</f>
        <v>Adult</v>
      </c>
      <c r="L246" t="str">
        <f>_xlfn.CONCAT(I246,"_",RetailSales[[#This Row],[Product Category]])</f>
        <v>90_Clothing</v>
      </c>
    </row>
    <row r="247" spans="1:12">
      <c r="A247">
        <v>246</v>
      </c>
      <c r="B247">
        <v>45036</v>
      </c>
      <c r="C247" t="s">
        <v>274</v>
      </c>
      <c r="D247" t="s">
        <v>17</v>
      </c>
      <c r="E247">
        <v>48</v>
      </c>
      <c r="F247" t="s">
        <v>20</v>
      </c>
      <c r="G247">
        <v>2</v>
      </c>
      <c r="H247">
        <v>25</v>
      </c>
      <c r="I247">
        <f t="shared" si="6"/>
        <v>50</v>
      </c>
      <c r="J247" s="4">
        <f t="shared" si="7"/>
        <v>0.75</v>
      </c>
      <c r="K247" t="str">
        <f>IF(RetailSales[[#This Row],[Age]]&lt;30,"Young Adult",IF(RetailSales[[#This Row],[Age]]&lt;50,"Adult","Senior"))</f>
        <v>Adult</v>
      </c>
      <c r="L247" t="str">
        <f>_xlfn.CONCAT(I247,"_",RetailSales[[#This Row],[Product Category]])</f>
        <v>50_Electronics</v>
      </c>
    </row>
    <row r="248" spans="1:12">
      <c r="A248">
        <v>247</v>
      </c>
      <c r="B248">
        <v>45203</v>
      </c>
      <c r="C248" t="s">
        <v>275</v>
      </c>
      <c r="D248" t="s">
        <v>13</v>
      </c>
      <c r="E248">
        <v>41</v>
      </c>
      <c r="F248" t="s">
        <v>20</v>
      </c>
      <c r="G248">
        <v>2</v>
      </c>
      <c r="H248">
        <v>30</v>
      </c>
      <c r="I248">
        <f t="shared" si="6"/>
        <v>60</v>
      </c>
      <c r="J248" s="4">
        <f t="shared" si="7"/>
        <v>0.89999999999999991</v>
      </c>
      <c r="K248" t="str">
        <f>IF(RetailSales[[#This Row],[Age]]&lt;30,"Young Adult",IF(RetailSales[[#This Row],[Age]]&lt;50,"Adult","Senior"))</f>
        <v>Adult</v>
      </c>
      <c r="L248" t="str">
        <f>_xlfn.CONCAT(I248,"_",RetailSales[[#This Row],[Product Category]])</f>
        <v>60_Electronics</v>
      </c>
    </row>
    <row r="249" spans="1:12">
      <c r="A249">
        <v>248</v>
      </c>
      <c r="B249">
        <v>44994</v>
      </c>
      <c r="C249" t="s">
        <v>276</v>
      </c>
      <c r="D249" t="s">
        <v>13</v>
      </c>
      <c r="E249">
        <v>26</v>
      </c>
      <c r="F249" t="s">
        <v>18</v>
      </c>
      <c r="G249">
        <v>3</v>
      </c>
      <c r="H249">
        <v>300</v>
      </c>
      <c r="I249">
        <f t="shared" si="6"/>
        <v>900</v>
      </c>
      <c r="J249" s="4">
        <f t="shared" si="7"/>
        <v>13.5</v>
      </c>
      <c r="K249" t="str">
        <f>IF(RetailSales[[#This Row],[Age]]&lt;30,"Young Adult",IF(RetailSales[[#This Row],[Age]]&lt;50,"Adult","Senior"))</f>
        <v>Young Adult</v>
      </c>
      <c r="L249" t="str">
        <f>_xlfn.CONCAT(I249,"_",RetailSales[[#This Row],[Product Category]])</f>
        <v>900_Clothing</v>
      </c>
    </row>
    <row r="250" spans="1:12">
      <c r="A250">
        <v>249</v>
      </c>
      <c r="B250">
        <v>45219</v>
      </c>
      <c r="C250" t="s">
        <v>277</v>
      </c>
      <c r="D250" t="s">
        <v>13</v>
      </c>
      <c r="E250">
        <v>20</v>
      </c>
      <c r="F250" t="s">
        <v>18</v>
      </c>
      <c r="G250">
        <v>1</v>
      </c>
      <c r="H250">
        <v>50</v>
      </c>
      <c r="I250">
        <f t="shared" si="6"/>
        <v>50</v>
      </c>
      <c r="J250" s="4">
        <f t="shared" si="7"/>
        <v>0.75</v>
      </c>
      <c r="K250" t="str">
        <f>IF(RetailSales[[#This Row],[Age]]&lt;30,"Young Adult",IF(RetailSales[[#This Row],[Age]]&lt;50,"Adult","Senior"))</f>
        <v>Young Adult</v>
      </c>
      <c r="L250" t="str">
        <f>_xlfn.CONCAT(I250,"_",RetailSales[[#This Row],[Product Category]])</f>
        <v>50_Clothing</v>
      </c>
    </row>
    <row r="251" spans="1:12">
      <c r="A251">
        <v>250</v>
      </c>
      <c r="B251">
        <v>45222</v>
      </c>
      <c r="C251" t="s">
        <v>278</v>
      </c>
      <c r="D251" t="s">
        <v>13</v>
      </c>
      <c r="E251">
        <v>48</v>
      </c>
      <c r="F251" t="s">
        <v>20</v>
      </c>
      <c r="G251">
        <v>1</v>
      </c>
      <c r="H251">
        <v>50</v>
      </c>
      <c r="I251">
        <f t="shared" si="6"/>
        <v>50</v>
      </c>
      <c r="J251" s="4">
        <f t="shared" si="7"/>
        <v>0.75</v>
      </c>
      <c r="K251" t="str">
        <f>IF(RetailSales[[#This Row],[Age]]&lt;30,"Young Adult",IF(RetailSales[[#This Row],[Age]]&lt;50,"Adult","Senior"))</f>
        <v>Adult</v>
      </c>
      <c r="L251" t="str">
        <f>_xlfn.CONCAT(I251,"_",RetailSales[[#This Row],[Product Category]])</f>
        <v>50_Electronics</v>
      </c>
    </row>
    <row r="252" spans="1:12">
      <c r="A252">
        <v>251</v>
      </c>
      <c r="B252">
        <v>45169</v>
      </c>
      <c r="C252" t="s">
        <v>279</v>
      </c>
      <c r="D252" t="s">
        <v>17</v>
      </c>
      <c r="E252">
        <v>57</v>
      </c>
      <c r="F252" t="s">
        <v>14</v>
      </c>
      <c r="G252">
        <v>4</v>
      </c>
      <c r="H252">
        <v>50</v>
      </c>
      <c r="I252">
        <f t="shared" si="6"/>
        <v>200</v>
      </c>
      <c r="J252" s="4">
        <f t="shared" si="7"/>
        <v>3</v>
      </c>
      <c r="K252" t="str">
        <f>IF(RetailSales[[#This Row],[Age]]&lt;30,"Young Adult",IF(RetailSales[[#This Row],[Age]]&lt;50,"Adult","Senior"))</f>
        <v>Senior</v>
      </c>
      <c r="L252" t="str">
        <f>_xlfn.CONCAT(I252,"_",RetailSales[[#This Row],[Product Category]])</f>
        <v>200_Beauty</v>
      </c>
    </row>
    <row r="253" spans="1:12">
      <c r="A253">
        <v>252</v>
      </c>
      <c r="B253">
        <v>45051</v>
      </c>
      <c r="C253" t="s">
        <v>280</v>
      </c>
      <c r="D253" t="s">
        <v>13</v>
      </c>
      <c r="E253">
        <v>54</v>
      </c>
      <c r="F253" t="s">
        <v>20</v>
      </c>
      <c r="G253">
        <v>1</v>
      </c>
      <c r="H253">
        <v>300</v>
      </c>
      <c r="I253">
        <f t="shared" si="6"/>
        <v>300</v>
      </c>
      <c r="J253" s="4">
        <f t="shared" si="7"/>
        <v>4.5</v>
      </c>
      <c r="K253" t="str">
        <f>IF(RetailSales[[#This Row],[Age]]&lt;30,"Young Adult",IF(RetailSales[[#This Row],[Age]]&lt;50,"Adult","Senior"))</f>
        <v>Senior</v>
      </c>
      <c r="L253" t="str">
        <f>_xlfn.CONCAT(I253,"_",RetailSales[[#This Row],[Product Category]])</f>
        <v>300_Electronics</v>
      </c>
    </row>
    <row r="254" spans="1:12">
      <c r="A254">
        <v>253</v>
      </c>
      <c r="B254">
        <v>45169</v>
      </c>
      <c r="C254" t="s">
        <v>281</v>
      </c>
      <c r="D254" t="s">
        <v>17</v>
      </c>
      <c r="E254">
        <v>53</v>
      </c>
      <c r="F254" t="s">
        <v>18</v>
      </c>
      <c r="G254">
        <v>4</v>
      </c>
      <c r="H254">
        <v>500</v>
      </c>
      <c r="I254">
        <f t="shared" si="6"/>
        <v>2000</v>
      </c>
      <c r="J254" s="4">
        <f t="shared" si="7"/>
        <v>30</v>
      </c>
      <c r="K254" t="str">
        <f>IF(RetailSales[[#This Row],[Age]]&lt;30,"Young Adult",IF(RetailSales[[#This Row],[Age]]&lt;50,"Adult","Senior"))</f>
        <v>Senior</v>
      </c>
      <c r="L254" t="str">
        <f>_xlfn.CONCAT(I254,"_",RetailSales[[#This Row],[Product Category]])</f>
        <v>2000_Clothing</v>
      </c>
    </row>
    <row r="255" spans="1:12">
      <c r="A255">
        <v>254</v>
      </c>
      <c r="B255">
        <v>45135</v>
      </c>
      <c r="C255" t="s">
        <v>282</v>
      </c>
      <c r="D255" t="s">
        <v>13</v>
      </c>
      <c r="E255">
        <v>41</v>
      </c>
      <c r="F255" t="s">
        <v>20</v>
      </c>
      <c r="G255">
        <v>1</v>
      </c>
      <c r="H255">
        <v>500</v>
      </c>
      <c r="I255">
        <f t="shared" si="6"/>
        <v>500</v>
      </c>
      <c r="J255" s="4">
        <f t="shared" si="7"/>
        <v>7.5</v>
      </c>
      <c r="K255" t="str">
        <f>IF(RetailSales[[#This Row],[Age]]&lt;30,"Young Adult",IF(RetailSales[[#This Row],[Age]]&lt;50,"Adult","Senior"))</f>
        <v>Adult</v>
      </c>
      <c r="L255" t="str">
        <f>_xlfn.CONCAT(I255,"_",RetailSales[[#This Row],[Product Category]])</f>
        <v>500_Electronics</v>
      </c>
    </row>
    <row r="256" spans="1:12">
      <c r="A256">
        <v>255</v>
      </c>
      <c r="B256">
        <v>45024</v>
      </c>
      <c r="C256" t="s">
        <v>283</v>
      </c>
      <c r="D256" t="s">
        <v>13</v>
      </c>
      <c r="E256">
        <v>48</v>
      </c>
      <c r="F256" t="s">
        <v>18</v>
      </c>
      <c r="G256">
        <v>1</v>
      </c>
      <c r="H256">
        <v>30</v>
      </c>
      <c r="I256">
        <f t="shared" si="6"/>
        <v>30</v>
      </c>
      <c r="J256" s="4">
        <f t="shared" si="7"/>
        <v>0.44999999999999996</v>
      </c>
      <c r="K256" t="str">
        <f>IF(RetailSales[[#This Row],[Age]]&lt;30,"Young Adult",IF(RetailSales[[#This Row],[Age]]&lt;50,"Adult","Senior"))</f>
        <v>Adult</v>
      </c>
      <c r="L256" t="str">
        <f>_xlfn.CONCAT(I256,"_",RetailSales[[#This Row],[Product Category]])</f>
        <v>30_Clothing</v>
      </c>
    </row>
    <row r="257" spans="1:12">
      <c r="A257">
        <v>256</v>
      </c>
      <c r="B257">
        <v>44975</v>
      </c>
      <c r="C257" t="s">
        <v>284</v>
      </c>
      <c r="D257" t="s">
        <v>13</v>
      </c>
      <c r="E257">
        <v>23</v>
      </c>
      <c r="F257" t="s">
        <v>18</v>
      </c>
      <c r="G257">
        <v>2</v>
      </c>
      <c r="H257">
        <v>500</v>
      </c>
      <c r="I257">
        <f t="shared" si="6"/>
        <v>1000</v>
      </c>
      <c r="J257" s="4">
        <f t="shared" si="7"/>
        <v>15</v>
      </c>
      <c r="K257" t="str">
        <f>IF(RetailSales[[#This Row],[Age]]&lt;30,"Young Adult",IF(RetailSales[[#This Row],[Age]]&lt;50,"Adult","Senior"))</f>
        <v>Young Adult</v>
      </c>
      <c r="L257" t="str">
        <f>_xlfn.CONCAT(I257,"_",RetailSales[[#This Row],[Product Category]])</f>
        <v>1000_Clothing</v>
      </c>
    </row>
    <row r="258" spans="1:12">
      <c r="A258">
        <v>257</v>
      </c>
      <c r="B258">
        <v>44976</v>
      </c>
      <c r="C258" t="s">
        <v>285</v>
      </c>
      <c r="D258" t="s">
        <v>13</v>
      </c>
      <c r="E258">
        <v>19</v>
      </c>
      <c r="F258" t="s">
        <v>14</v>
      </c>
      <c r="G258">
        <v>4</v>
      </c>
      <c r="H258">
        <v>500</v>
      </c>
      <c r="I258">
        <f t="shared" si="6"/>
        <v>2000</v>
      </c>
      <c r="J258" s="4">
        <f t="shared" si="7"/>
        <v>30</v>
      </c>
      <c r="K258" t="str">
        <f>IF(RetailSales[[#This Row],[Age]]&lt;30,"Young Adult",IF(RetailSales[[#This Row],[Age]]&lt;50,"Adult","Senior"))</f>
        <v>Young Adult</v>
      </c>
      <c r="L258" t="str">
        <f>_xlfn.CONCAT(I258,"_",RetailSales[[#This Row],[Product Category]])</f>
        <v>2000_Beauty</v>
      </c>
    </row>
    <row r="259" spans="1:12">
      <c r="A259">
        <v>258</v>
      </c>
      <c r="B259">
        <v>45264</v>
      </c>
      <c r="C259" t="s">
        <v>286</v>
      </c>
      <c r="D259" t="s">
        <v>17</v>
      </c>
      <c r="E259">
        <v>37</v>
      </c>
      <c r="F259" t="s">
        <v>18</v>
      </c>
      <c r="G259">
        <v>1</v>
      </c>
      <c r="H259">
        <v>50</v>
      </c>
      <c r="I259">
        <f t="shared" ref="I259:I322" si="8">G259*H259</f>
        <v>50</v>
      </c>
      <c r="J259" s="4">
        <f t="shared" ref="J259:J322" si="9">I259*$O$3</f>
        <v>0.75</v>
      </c>
      <c r="K259" t="str">
        <f>IF(RetailSales[[#This Row],[Age]]&lt;30,"Young Adult",IF(RetailSales[[#This Row],[Age]]&lt;50,"Adult","Senior"))</f>
        <v>Adult</v>
      </c>
      <c r="L259" t="str">
        <f>_xlfn.CONCAT(I259,"_",RetailSales[[#This Row],[Product Category]])</f>
        <v>50_Clothing</v>
      </c>
    </row>
    <row r="260" spans="1:12">
      <c r="A260">
        <v>259</v>
      </c>
      <c r="B260">
        <v>45147</v>
      </c>
      <c r="C260" t="s">
        <v>287</v>
      </c>
      <c r="D260" t="s">
        <v>17</v>
      </c>
      <c r="E260">
        <v>45</v>
      </c>
      <c r="F260" t="s">
        <v>18</v>
      </c>
      <c r="G260">
        <v>4</v>
      </c>
      <c r="H260">
        <v>50</v>
      </c>
      <c r="I260">
        <f t="shared" si="8"/>
        <v>200</v>
      </c>
      <c r="J260" s="4">
        <f t="shared" si="9"/>
        <v>3</v>
      </c>
      <c r="K260" t="str">
        <f>IF(RetailSales[[#This Row],[Age]]&lt;30,"Young Adult",IF(RetailSales[[#This Row],[Age]]&lt;50,"Adult","Senior"))</f>
        <v>Adult</v>
      </c>
      <c r="L260" t="str">
        <f>_xlfn.CONCAT(I260,"_",RetailSales[[#This Row],[Product Category]])</f>
        <v>200_Clothing</v>
      </c>
    </row>
    <row r="261" spans="1:12">
      <c r="A261">
        <v>260</v>
      </c>
      <c r="B261">
        <v>45108</v>
      </c>
      <c r="C261" t="s">
        <v>288</v>
      </c>
      <c r="D261" t="s">
        <v>13</v>
      </c>
      <c r="E261">
        <v>28</v>
      </c>
      <c r="F261" t="s">
        <v>14</v>
      </c>
      <c r="G261">
        <v>2</v>
      </c>
      <c r="H261">
        <v>30</v>
      </c>
      <c r="I261">
        <f t="shared" si="8"/>
        <v>60</v>
      </c>
      <c r="J261" s="4">
        <f t="shared" si="9"/>
        <v>0.89999999999999991</v>
      </c>
      <c r="K261" t="str">
        <f>IF(RetailSales[[#This Row],[Age]]&lt;30,"Young Adult",IF(RetailSales[[#This Row],[Age]]&lt;50,"Adult","Senior"))</f>
        <v>Young Adult</v>
      </c>
      <c r="L261" t="str">
        <f>_xlfn.CONCAT(I261,"_",RetailSales[[#This Row],[Product Category]])</f>
        <v>60_Beauty</v>
      </c>
    </row>
    <row r="262" spans="1:12">
      <c r="A262">
        <v>261</v>
      </c>
      <c r="B262">
        <v>45143</v>
      </c>
      <c r="C262" t="s">
        <v>289</v>
      </c>
      <c r="D262" t="s">
        <v>13</v>
      </c>
      <c r="E262">
        <v>21</v>
      </c>
      <c r="F262" t="s">
        <v>18</v>
      </c>
      <c r="G262">
        <v>2</v>
      </c>
      <c r="H262">
        <v>25</v>
      </c>
      <c r="I262">
        <f t="shared" si="8"/>
        <v>50</v>
      </c>
      <c r="J262" s="4">
        <f t="shared" si="9"/>
        <v>0.75</v>
      </c>
      <c r="K262" t="str">
        <f>IF(RetailSales[[#This Row],[Age]]&lt;30,"Young Adult",IF(RetailSales[[#This Row],[Age]]&lt;50,"Adult","Senior"))</f>
        <v>Young Adult</v>
      </c>
      <c r="L262" t="str">
        <f>_xlfn.CONCAT(I262,"_",RetailSales[[#This Row],[Product Category]])</f>
        <v>50_Clothing</v>
      </c>
    </row>
    <row r="263" spans="1:12">
      <c r="A263">
        <v>262</v>
      </c>
      <c r="B263">
        <v>45137</v>
      </c>
      <c r="C263" t="s">
        <v>290</v>
      </c>
      <c r="D263" t="s">
        <v>17</v>
      </c>
      <c r="E263">
        <v>32</v>
      </c>
      <c r="F263" t="s">
        <v>14</v>
      </c>
      <c r="G263">
        <v>4</v>
      </c>
      <c r="H263">
        <v>30</v>
      </c>
      <c r="I263">
        <f t="shared" si="8"/>
        <v>120</v>
      </c>
      <c r="J263" s="4">
        <f t="shared" si="9"/>
        <v>1.7999999999999998</v>
      </c>
      <c r="K263" t="str">
        <f>IF(RetailSales[[#This Row],[Age]]&lt;30,"Young Adult",IF(RetailSales[[#This Row],[Age]]&lt;50,"Adult","Senior"))</f>
        <v>Adult</v>
      </c>
      <c r="L263" t="str">
        <f>_xlfn.CONCAT(I263,"_",RetailSales[[#This Row],[Product Category]])</f>
        <v>120_Beauty</v>
      </c>
    </row>
    <row r="264" spans="1:12">
      <c r="A264">
        <v>263</v>
      </c>
      <c r="B264">
        <v>45166</v>
      </c>
      <c r="C264" t="s">
        <v>291</v>
      </c>
      <c r="D264" t="s">
        <v>13</v>
      </c>
      <c r="E264">
        <v>23</v>
      </c>
      <c r="F264" t="s">
        <v>14</v>
      </c>
      <c r="G264">
        <v>2</v>
      </c>
      <c r="H264">
        <v>30</v>
      </c>
      <c r="I264">
        <f t="shared" si="8"/>
        <v>60</v>
      </c>
      <c r="J264" s="4">
        <f t="shared" si="9"/>
        <v>0.89999999999999991</v>
      </c>
      <c r="K264" t="str">
        <f>IF(RetailSales[[#This Row],[Age]]&lt;30,"Young Adult",IF(RetailSales[[#This Row],[Age]]&lt;50,"Adult","Senior"))</f>
        <v>Young Adult</v>
      </c>
      <c r="L264" t="str">
        <f>_xlfn.CONCAT(I264,"_",RetailSales[[#This Row],[Product Category]])</f>
        <v>60_Beauty</v>
      </c>
    </row>
    <row r="265" spans="1:12">
      <c r="A265">
        <v>264</v>
      </c>
      <c r="B265">
        <v>44954</v>
      </c>
      <c r="C265" t="s">
        <v>292</v>
      </c>
      <c r="D265" t="s">
        <v>13</v>
      </c>
      <c r="E265">
        <v>47</v>
      </c>
      <c r="F265" t="s">
        <v>18</v>
      </c>
      <c r="G265">
        <v>3</v>
      </c>
      <c r="H265">
        <v>300</v>
      </c>
      <c r="I265">
        <f t="shared" si="8"/>
        <v>900</v>
      </c>
      <c r="J265" s="4">
        <f t="shared" si="9"/>
        <v>13.5</v>
      </c>
      <c r="K265" t="str">
        <f>IF(RetailSales[[#This Row],[Age]]&lt;30,"Young Adult",IF(RetailSales[[#This Row],[Age]]&lt;50,"Adult","Senior"))</f>
        <v>Adult</v>
      </c>
      <c r="L265" t="str">
        <f>_xlfn.CONCAT(I265,"_",RetailSales[[#This Row],[Product Category]])</f>
        <v>900_Clothing</v>
      </c>
    </row>
    <row r="266" spans="1:12">
      <c r="A266">
        <v>265</v>
      </c>
      <c r="B266">
        <v>45271</v>
      </c>
      <c r="C266" t="s">
        <v>293</v>
      </c>
      <c r="D266" t="s">
        <v>13</v>
      </c>
      <c r="E266">
        <v>55</v>
      </c>
      <c r="F266" t="s">
        <v>18</v>
      </c>
      <c r="G266">
        <v>3</v>
      </c>
      <c r="H266">
        <v>300</v>
      </c>
      <c r="I266">
        <f t="shared" si="8"/>
        <v>900</v>
      </c>
      <c r="J266" s="4">
        <f t="shared" si="9"/>
        <v>13.5</v>
      </c>
      <c r="K266" t="str">
        <f>IF(RetailSales[[#This Row],[Age]]&lt;30,"Young Adult",IF(RetailSales[[#This Row],[Age]]&lt;50,"Adult","Senior"))</f>
        <v>Senior</v>
      </c>
      <c r="L266" t="str">
        <f>_xlfn.CONCAT(I266,"_",RetailSales[[#This Row],[Product Category]])</f>
        <v>900_Clothing</v>
      </c>
    </row>
    <row r="267" spans="1:12">
      <c r="A267">
        <v>266</v>
      </c>
      <c r="B267">
        <v>45261</v>
      </c>
      <c r="C267" t="s">
        <v>294</v>
      </c>
      <c r="D267" t="s">
        <v>17</v>
      </c>
      <c r="E267">
        <v>19</v>
      </c>
      <c r="F267" t="s">
        <v>20</v>
      </c>
      <c r="G267">
        <v>2</v>
      </c>
      <c r="H267">
        <v>30</v>
      </c>
      <c r="I267">
        <f t="shared" si="8"/>
        <v>60</v>
      </c>
      <c r="J267" s="4">
        <f t="shared" si="9"/>
        <v>0.89999999999999991</v>
      </c>
      <c r="K267" t="str">
        <f>IF(RetailSales[[#This Row],[Age]]&lt;30,"Young Adult",IF(RetailSales[[#This Row],[Age]]&lt;50,"Adult","Senior"))</f>
        <v>Young Adult</v>
      </c>
      <c r="L267" t="str">
        <f>_xlfn.CONCAT(I267,"_",RetailSales[[#This Row],[Product Category]])</f>
        <v>60_Electronics</v>
      </c>
    </row>
    <row r="268" spans="1:12">
      <c r="A268">
        <v>267</v>
      </c>
      <c r="B268">
        <v>45257</v>
      </c>
      <c r="C268" t="s">
        <v>295</v>
      </c>
      <c r="D268" t="s">
        <v>17</v>
      </c>
      <c r="E268">
        <v>32</v>
      </c>
      <c r="F268" t="s">
        <v>14</v>
      </c>
      <c r="G268">
        <v>3</v>
      </c>
      <c r="H268">
        <v>30</v>
      </c>
      <c r="I268">
        <f t="shared" si="8"/>
        <v>90</v>
      </c>
      <c r="J268" s="4">
        <f t="shared" si="9"/>
        <v>1.3499999999999999</v>
      </c>
      <c r="K268" t="str">
        <f>IF(RetailSales[[#This Row],[Age]]&lt;30,"Young Adult",IF(RetailSales[[#This Row],[Age]]&lt;50,"Adult","Senior"))</f>
        <v>Adult</v>
      </c>
      <c r="L268" t="str">
        <f>_xlfn.CONCAT(I268,"_",RetailSales[[#This Row],[Product Category]])</f>
        <v>90_Beauty</v>
      </c>
    </row>
    <row r="269" spans="1:12">
      <c r="A269">
        <v>268</v>
      </c>
      <c r="B269">
        <v>44977</v>
      </c>
      <c r="C269" t="s">
        <v>296</v>
      </c>
      <c r="D269" t="s">
        <v>17</v>
      </c>
      <c r="E269">
        <v>28</v>
      </c>
      <c r="F269" t="s">
        <v>20</v>
      </c>
      <c r="G269">
        <v>1</v>
      </c>
      <c r="H269">
        <v>30</v>
      </c>
      <c r="I269">
        <f t="shared" si="8"/>
        <v>30</v>
      </c>
      <c r="J269" s="4">
        <f t="shared" si="9"/>
        <v>0.44999999999999996</v>
      </c>
      <c r="K269" t="str">
        <f>IF(RetailSales[[#This Row],[Age]]&lt;30,"Young Adult",IF(RetailSales[[#This Row],[Age]]&lt;50,"Adult","Senior"))</f>
        <v>Young Adult</v>
      </c>
      <c r="L269" t="str">
        <f>_xlfn.CONCAT(I269,"_",RetailSales[[#This Row],[Product Category]])</f>
        <v>30_Electronics</v>
      </c>
    </row>
    <row r="270" spans="1:12">
      <c r="A270">
        <v>269</v>
      </c>
      <c r="B270">
        <v>44958</v>
      </c>
      <c r="C270" t="s">
        <v>297</v>
      </c>
      <c r="D270" t="s">
        <v>13</v>
      </c>
      <c r="E270">
        <v>25</v>
      </c>
      <c r="F270" t="s">
        <v>18</v>
      </c>
      <c r="G270">
        <v>4</v>
      </c>
      <c r="H270">
        <v>500</v>
      </c>
      <c r="I270">
        <f t="shared" si="8"/>
        <v>2000</v>
      </c>
      <c r="J270" s="4">
        <f t="shared" si="9"/>
        <v>30</v>
      </c>
      <c r="K270" t="str">
        <f>IF(RetailSales[[#This Row],[Age]]&lt;30,"Young Adult",IF(RetailSales[[#This Row],[Age]]&lt;50,"Adult","Senior"))</f>
        <v>Young Adult</v>
      </c>
      <c r="L270" t="str">
        <f>_xlfn.CONCAT(I270,"_",RetailSales[[#This Row],[Product Category]])</f>
        <v>2000_Clothing</v>
      </c>
    </row>
    <row r="271" spans="1:12">
      <c r="A271">
        <v>270</v>
      </c>
      <c r="B271">
        <v>45133</v>
      </c>
      <c r="C271" t="s">
        <v>298</v>
      </c>
      <c r="D271" t="s">
        <v>13</v>
      </c>
      <c r="E271">
        <v>43</v>
      </c>
      <c r="F271" t="s">
        <v>20</v>
      </c>
      <c r="G271">
        <v>1</v>
      </c>
      <c r="H271">
        <v>300</v>
      </c>
      <c r="I271">
        <f t="shared" si="8"/>
        <v>300</v>
      </c>
      <c r="J271" s="4">
        <f t="shared" si="9"/>
        <v>4.5</v>
      </c>
      <c r="K271" t="str">
        <f>IF(RetailSales[[#This Row],[Age]]&lt;30,"Young Adult",IF(RetailSales[[#This Row],[Age]]&lt;50,"Adult","Senior"))</f>
        <v>Adult</v>
      </c>
      <c r="L271" t="str">
        <f>_xlfn.CONCAT(I271,"_",RetailSales[[#This Row],[Product Category]])</f>
        <v>300_Electronics</v>
      </c>
    </row>
    <row r="272" spans="1:12">
      <c r="A272">
        <v>271</v>
      </c>
      <c r="B272">
        <v>45100</v>
      </c>
      <c r="C272" t="s">
        <v>299</v>
      </c>
      <c r="D272" t="s">
        <v>17</v>
      </c>
      <c r="E272">
        <v>62</v>
      </c>
      <c r="F272" t="s">
        <v>14</v>
      </c>
      <c r="G272">
        <v>4</v>
      </c>
      <c r="H272">
        <v>30</v>
      </c>
      <c r="I272">
        <f t="shared" si="8"/>
        <v>120</v>
      </c>
      <c r="J272" s="4">
        <f t="shared" si="9"/>
        <v>1.7999999999999998</v>
      </c>
      <c r="K272" t="str">
        <f>IF(RetailSales[[#This Row],[Age]]&lt;30,"Young Adult",IF(RetailSales[[#This Row],[Age]]&lt;50,"Adult","Senior"))</f>
        <v>Senior</v>
      </c>
      <c r="L272" t="str">
        <f>_xlfn.CONCAT(I272,"_",RetailSales[[#This Row],[Product Category]])</f>
        <v>120_Beauty</v>
      </c>
    </row>
    <row r="273" spans="1:12">
      <c r="A273">
        <v>272</v>
      </c>
      <c r="B273">
        <v>44982</v>
      </c>
      <c r="C273" t="s">
        <v>300</v>
      </c>
      <c r="D273" t="s">
        <v>17</v>
      </c>
      <c r="E273">
        <v>61</v>
      </c>
      <c r="F273" t="s">
        <v>20</v>
      </c>
      <c r="G273">
        <v>2</v>
      </c>
      <c r="H273">
        <v>50</v>
      </c>
      <c r="I273">
        <f t="shared" si="8"/>
        <v>100</v>
      </c>
      <c r="J273" s="4">
        <f t="shared" si="9"/>
        <v>1.5</v>
      </c>
      <c r="K273" t="str">
        <f>IF(RetailSales[[#This Row],[Age]]&lt;30,"Young Adult",IF(RetailSales[[#This Row],[Age]]&lt;50,"Adult","Senior"))</f>
        <v>Senior</v>
      </c>
      <c r="L273" t="str">
        <f>_xlfn.CONCAT(I273,"_",RetailSales[[#This Row],[Product Category]])</f>
        <v>100_Electronics</v>
      </c>
    </row>
    <row r="274" spans="1:12">
      <c r="A274">
        <v>273</v>
      </c>
      <c r="B274">
        <v>45054</v>
      </c>
      <c r="C274" t="s">
        <v>301</v>
      </c>
      <c r="D274" t="s">
        <v>17</v>
      </c>
      <c r="E274">
        <v>22</v>
      </c>
      <c r="F274" t="s">
        <v>14</v>
      </c>
      <c r="G274">
        <v>1</v>
      </c>
      <c r="H274">
        <v>50</v>
      </c>
      <c r="I274">
        <f t="shared" si="8"/>
        <v>50</v>
      </c>
      <c r="J274" s="4">
        <f t="shared" si="9"/>
        <v>0.75</v>
      </c>
      <c r="K274" t="str">
        <f>IF(RetailSales[[#This Row],[Age]]&lt;30,"Young Adult",IF(RetailSales[[#This Row],[Age]]&lt;50,"Adult","Senior"))</f>
        <v>Young Adult</v>
      </c>
      <c r="L274" t="str">
        <f>_xlfn.CONCAT(I274,"_",RetailSales[[#This Row],[Product Category]])</f>
        <v>50_Beauty</v>
      </c>
    </row>
    <row r="275" spans="1:12">
      <c r="A275">
        <v>274</v>
      </c>
      <c r="B275">
        <v>45025</v>
      </c>
      <c r="C275" t="s">
        <v>302</v>
      </c>
      <c r="D275" t="s">
        <v>17</v>
      </c>
      <c r="E275">
        <v>23</v>
      </c>
      <c r="F275" t="s">
        <v>18</v>
      </c>
      <c r="G275">
        <v>2</v>
      </c>
      <c r="H275">
        <v>500</v>
      </c>
      <c r="I275">
        <f t="shared" si="8"/>
        <v>1000</v>
      </c>
      <c r="J275" s="4">
        <f t="shared" si="9"/>
        <v>15</v>
      </c>
      <c r="K275" t="str">
        <f>IF(RetailSales[[#This Row],[Age]]&lt;30,"Young Adult",IF(RetailSales[[#This Row],[Age]]&lt;50,"Adult","Senior"))</f>
        <v>Young Adult</v>
      </c>
      <c r="L275" t="str">
        <f>_xlfn.CONCAT(I275,"_",RetailSales[[#This Row],[Product Category]])</f>
        <v>1000_Clothing</v>
      </c>
    </row>
    <row r="276" spans="1:12">
      <c r="A276">
        <v>275</v>
      </c>
      <c r="B276">
        <v>45024</v>
      </c>
      <c r="C276" t="s">
        <v>303</v>
      </c>
      <c r="D276" t="s">
        <v>13</v>
      </c>
      <c r="E276">
        <v>43</v>
      </c>
      <c r="F276" t="s">
        <v>18</v>
      </c>
      <c r="G276">
        <v>2</v>
      </c>
      <c r="H276">
        <v>500</v>
      </c>
      <c r="I276">
        <f t="shared" si="8"/>
        <v>1000</v>
      </c>
      <c r="J276" s="4">
        <f t="shared" si="9"/>
        <v>15</v>
      </c>
      <c r="K276" t="str">
        <f>IF(RetailSales[[#This Row],[Age]]&lt;30,"Young Adult",IF(RetailSales[[#This Row],[Age]]&lt;50,"Adult","Senior"))</f>
        <v>Adult</v>
      </c>
      <c r="L276" t="str">
        <f>_xlfn.CONCAT(I276,"_",RetailSales[[#This Row],[Product Category]])</f>
        <v>1000_Clothing</v>
      </c>
    </row>
    <row r="277" spans="1:12">
      <c r="A277">
        <v>276</v>
      </c>
      <c r="B277">
        <v>45201</v>
      </c>
      <c r="C277" t="s">
        <v>304</v>
      </c>
      <c r="D277" t="s">
        <v>17</v>
      </c>
      <c r="E277">
        <v>21</v>
      </c>
      <c r="F277" t="s">
        <v>14</v>
      </c>
      <c r="G277">
        <v>4</v>
      </c>
      <c r="H277">
        <v>25</v>
      </c>
      <c r="I277">
        <f t="shared" si="8"/>
        <v>100</v>
      </c>
      <c r="J277" s="4">
        <f t="shared" si="9"/>
        <v>1.5</v>
      </c>
      <c r="K277" t="str">
        <f>IF(RetailSales[[#This Row],[Age]]&lt;30,"Young Adult",IF(RetailSales[[#This Row],[Age]]&lt;50,"Adult","Senior"))</f>
        <v>Young Adult</v>
      </c>
      <c r="L277" t="str">
        <f>_xlfn.CONCAT(I277,"_",RetailSales[[#This Row],[Product Category]])</f>
        <v>100_Beauty</v>
      </c>
    </row>
    <row r="278" spans="1:12">
      <c r="A278">
        <v>277</v>
      </c>
      <c r="B278">
        <v>45156</v>
      </c>
      <c r="C278" t="s">
        <v>305</v>
      </c>
      <c r="D278" t="s">
        <v>13</v>
      </c>
      <c r="E278">
        <v>36</v>
      </c>
      <c r="F278" t="s">
        <v>18</v>
      </c>
      <c r="G278">
        <v>4</v>
      </c>
      <c r="H278">
        <v>25</v>
      </c>
      <c r="I278">
        <f t="shared" si="8"/>
        <v>100</v>
      </c>
      <c r="J278" s="4">
        <f t="shared" si="9"/>
        <v>1.5</v>
      </c>
      <c r="K278" t="str">
        <f>IF(RetailSales[[#This Row],[Age]]&lt;30,"Young Adult",IF(RetailSales[[#This Row],[Age]]&lt;50,"Adult","Senior"))</f>
        <v>Adult</v>
      </c>
      <c r="L278" t="str">
        <f>_xlfn.CONCAT(I278,"_",RetailSales[[#This Row],[Product Category]])</f>
        <v>100_Clothing</v>
      </c>
    </row>
    <row r="279" spans="1:12">
      <c r="A279">
        <v>278</v>
      </c>
      <c r="B279">
        <v>44998</v>
      </c>
      <c r="C279" t="s">
        <v>306</v>
      </c>
      <c r="D279" t="s">
        <v>17</v>
      </c>
      <c r="E279">
        <v>37</v>
      </c>
      <c r="F279" t="s">
        <v>18</v>
      </c>
      <c r="G279">
        <v>4</v>
      </c>
      <c r="H279">
        <v>25</v>
      </c>
      <c r="I279">
        <f t="shared" si="8"/>
        <v>100</v>
      </c>
      <c r="J279" s="4">
        <f t="shared" si="9"/>
        <v>1.5</v>
      </c>
      <c r="K279" t="str">
        <f>IF(RetailSales[[#This Row],[Age]]&lt;30,"Young Adult",IF(RetailSales[[#This Row],[Age]]&lt;50,"Adult","Senior"))</f>
        <v>Adult</v>
      </c>
      <c r="L279" t="str">
        <f>_xlfn.CONCAT(I279,"_",RetailSales[[#This Row],[Product Category]])</f>
        <v>100_Clothing</v>
      </c>
    </row>
    <row r="280" spans="1:12">
      <c r="A280">
        <v>279</v>
      </c>
      <c r="B280">
        <v>45143</v>
      </c>
      <c r="C280" t="s">
        <v>307</v>
      </c>
      <c r="D280" t="s">
        <v>13</v>
      </c>
      <c r="E280">
        <v>50</v>
      </c>
      <c r="F280" t="s">
        <v>18</v>
      </c>
      <c r="G280">
        <v>1</v>
      </c>
      <c r="H280">
        <v>500</v>
      </c>
      <c r="I280">
        <f t="shared" si="8"/>
        <v>500</v>
      </c>
      <c r="J280" s="4">
        <f t="shared" si="9"/>
        <v>7.5</v>
      </c>
      <c r="K280" t="str">
        <f>IF(RetailSales[[#This Row],[Age]]&lt;30,"Young Adult",IF(RetailSales[[#This Row],[Age]]&lt;50,"Adult","Senior"))</f>
        <v>Senior</v>
      </c>
      <c r="L280" t="str">
        <f>_xlfn.CONCAT(I280,"_",RetailSales[[#This Row],[Product Category]])</f>
        <v>500_Clothing</v>
      </c>
    </row>
    <row r="281" spans="1:12">
      <c r="A281">
        <v>280</v>
      </c>
      <c r="B281">
        <v>45020</v>
      </c>
      <c r="C281" t="s">
        <v>308</v>
      </c>
      <c r="D281" t="s">
        <v>17</v>
      </c>
      <c r="E281">
        <v>37</v>
      </c>
      <c r="F281" t="s">
        <v>18</v>
      </c>
      <c r="G281">
        <v>3</v>
      </c>
      <c r="H281">
        <v>500</v>
      </c>
      <c r="I281">
        <f t="shared" si="8"/>
        <v>1500</v>
      </c>
      <c r="J281" s="4">
        <f t="shared" si="9"/>
        <v>22.5</v>
      </c>
      <c r="K281" t="str">
        <f>IF(RetailSales[[#This Row],[Age]]&lt;30,"Young Adult",IF(RetailSales[[#This Row],[Age]]&lt;50,"Adult","Senior"))</f>
        <v>Adult</v>
      </c>
      <c r="L281" t="str">
        <f>_xlfn.CONCAT(I281,"_",RetailSales[[#This Row],[Product Category]])</f>
        <v>1500_Clothing</v>
      </c>
    </row>
    <row r="282" spans="1:12">
      <c r="A282">
        <v>281</v>
      </c>
      <c r="B282">
        <v>45069</v>
      </c>
      <c r="C282" t="s">
        <v>309</v>
      </c>
      <c r="D282" t="s">
        <v>17</v>
      </c>
      <c r="E282">
        <v>29</v>
      </c>
      <c r="F282" t="s">
        <v>14</v>
      </c>
      <c r="G282">
        <v>4</v>
      </c>
      <c r="H282">
        <v>500</v>
      </c>
      <c r="I282">
        <f t="shared" si="8"/>
        <v>2000</v>
      </c>
      <c r="J282" s="4">
        <f t="shared" si="9"/>
        <v>30</v>
      </c>
      <c r="K282" t="str">
        <f>IF(RetailSales[[#This Row],[Age]]&lt;30,"Young Adult",IF(RetailSales[[#This Row],[Age]]&lt;50,"Adult","Senior"))</f>
        <v>Young Adult</v>
      </c>
      <c r="L282" t="str">
        <f>_xlfn.CONCAT(I282,"_",RetailSales[[#This Row],[Product Category]])</f>
        <v>2000_Beauty</v>
      </c>
    </row>
    <row r="283" spans="1:12">
      <c r="A283">
        <v>282</v>
      </c>
      <c r="B283">
        <v>45163</v>
      </c>
      <c r="C283" t="s">
        <v>310</v>
      </c>
      <c r="D283" t="s">
        <v>17</v>
      </c>
      <c r="E283">
        <v>64</v>
      </c>
      <c r="F283" t="s">
        <v>20</v>
      </c>
      <c r="G283">
        <v>4</v>
      </c>
      <c r="H283">
        <v>50</v>
      </c>
      <c r="I283">
        <f t="shared" si="8"/>
        <v>200</v>
      </c>
      <c r="J283" s="4">
        <f t="shared" si="9"/>
        <v>3</v>
      </c>
      <c r="K283" t="str">
        <f>IF(RetailSales[[#This Row],[Age]]&lt;30,"Young Adult",IF(RetailSales[[#This Row],[Age]]&lt;50,"Adult","Senior"))</f>
        <v>Senior</v>
      </c>
      <c r="L283" t="str">
        <f>_xlfn.CONCAT(I283,"_",RetailSales[[#This Row],[Product Category]])</f>
        <v>200_Electronics</v>
      </c>
    </row>
    <row r="284" spans="1:12">
      <c r="A284">
        <v>283</v>
      </c>
      <c r="B284">
        <v>45054</v>
      </c>
      <c r="C284" t="s">
        <v>311</v>
      </c>
      <c r="D284" t="s">
        <v>17</v>
      </c>
      <c r="E284">
        <v>18</v>
      </c>
      <c r="F284" t="s">
        <v>20</v>
      </c>
      <c r="G284">
        <v>1</v>
      </c>
      <c r="H284">
        <v>500</v>
      </c>
      <c r="I284">
        <f t="shared" si="8"/>
        <v>500</v>
      </c>
      <c r="J284" s="4">
        <f t="shared" si="9"/>
        <v>7.5</v>
      </c>
      <c r="K284" t="str">
        <f>IF(RetailSales[[#This Row],[Age]]&lt;30,"Young Adult",IF(RetailSales[[#This Row],[Age]]&lt;50,"Adult","Senior"))</f>
        <v>Young Adult</v>
      </c>
      <c r="L284" t="str">
        <f>_xlfn.CONCAT(I284,"_",RetailSales[[#This Row],[Product Category]])</f>
        <v>500_Electronics</v>
      </c>
    </row>
    <row r="285" spans="1:12">
      <c r="A285">
        <v>284</v>
      </c>
      <c r="B285">
        <v>44965</v>
      </c>
      <c r="C285" t="s">
        <v>312</v>
      </c>
      <c r="D285" t="s">
        <v>13</v>
      </c>
      <c r="E285">
        <v>43</v>
      </c>
      <c r="F285" t="s">
        <v>18</v>
      </c>
      <c r="G285">
        <v>4</v>
      </c>
      <c r="H285">
        <v>50</v>
      </c>
      <c r="I285">
        <f t="shared" si="8"/>
        <v>200</v>
      </c>
      <c r="J285" s="4">
        <f t="shared" si="9"/>
        <v>3</v>
      </c>
      <c r="K285" t="str">
        <f>IF(RetailSales[[#This Row],[Age]]&lt;30,"Young Adult",IF(RetailSales[[#This Row],[Age]]&lt;50,"Adult","Senior"))</f>
        <v>Adult</v>
      </c>
      <c r="L285" t="str">
        <f>_xlfn.CONCAT(I285,"_",RetailSales[[#This Row],[Product Category]])</f>
        <v>200_Clothing</v>
      </c>
    </row>
    <row r="286" spans="1:12">
      <c r="A286">
        <v>285</v>
      </c>
      <c r="B286">
        <v>45153</v>
      </c>
      <c r="C286" t="s">
        <v>313</v>
      </c>
      <c r="D286" t="s">
        <v>17</v>
      </c>
      <c r="E286">
        <v>31</v>
      </c>
      <c r="F286" t="s">
        <v>20</v>
      </c>
      <c r="G286">
        <v>1</v>
      </c>
      <c r="H286">
        <v>25</v>
      </c>
      <c r="I286">
        <f t="shared" si="8"/>
        <v>25</v>
      </c>
      <c r="J286" s="4">
        <f t="shared" si="9"/>
        <v>0.375</v>
      </c>
      <c r="K286" t="str">
        <f>IF(RetailSales[[#This Row],[Age]]&lt;30,"Young Adult",IF(RetailSales[[#This Row],[Age]]&lt;50,"Adult","Senior"))</f>
        <v>Adult</v>
      </c>
      <c r="L286" t="str">
        <f>_xlfn.CONCAT(I286,"_",RetailSales[[#This Row],[Product Category]])</f>
        <v>25_Electronics</v>
      </c>
    </row>
    <row r="287" spans="1:12">
      <c r="A287">
        <v>286</v>
      </c>
      <c r="B287">
        <v>45208</v>
      </c>
      <c r="C287" t="s">
        <v>314</v>
      </c>
      <c r="D287" t="s">
        <v>13</v>
      </c>
      <c r="E287">
        <v>55</v>
      </c>
      <c r="F287" t="s">
        <v>20</v>
      </c>
      <c r="G287">
        <v>2</v>
      </c>
      <c r="H287">
        <v>25</v>
      </c>
      <c r="I287">
        <f t="shared" si="8"/>
        <v>50</v>
      </c>
      <c r="J287" s="4">
        <f t="shared" si="9"/>
        <v>0.75</v>
      </c>
      <c r="K287" t="str">
        <f>IF(RetailSales[[#This Row],[Age]]&lt;30,"Young Adult",IF(RetailSales[[#This Row],[Age]]&lt;50,"Adult","Senior"))</f>
        <v>Senior</v>
      </c>
      <c r="L287" t="str">
        <f>_xlfn.CONCAT(I287,"_",RetailSales[[#This Row],[Product Category]])</f>
        <v>50_Electronics</v>
      </c>
    </row>
    <row r="288" spans="1:12">
      <c r="A288">
        <v>287</v>
      </c>
      <c r="B288">
        <v>44977</v>
      </c>
      <c r="C288" t="s">
        <v>315</v>
      </c>
      <c r="D288" t="s">
        <v>13</v>
      </c>
      <c r="E288">
        <v>54</v>
      </c>
      <c r="F288" t="s">
        <v>18</v>
      </c>
      <c r="G288">
        <v>4</v>
      </c>
      <c r="H288">
        <v>25</v>
      </c>
      <c r="I288">
        <f t="shared" si="8"/>
        <v>100</v>
      </c>
      <c r="J288" s="4">
        <f t="shared" si="9"/>
        <v>1.5</v>
      </c>
      <c r="K288" t="str">
        <f>IF(RetailSales[[#This Row],[Age]]&lt;30,"Young Adult",IF(RetailSales[[#This Row],[Age]]&lt;50,"Adult","Senior"))</f>
        <v>Senior</v>
      </c>
      <c r="L288" t="str">
        <f>_xlfn.CONCAT(I288,"_",RetailSales[[#This Row],[Product Category]])</f>
        <v>100_Clothing</v>
      </c>
    </row>
    <row r="289" spans="1:12">
      <c r="A289">
        <v>288</v>
      </c>
      <c r="B289">
        <v>44952</v>
      </c>
      <c r="C289" t="s">
        <v>316</v>
      </c>
      <c r="D289" t="s">
        <v>13</v>
      </c>
      <c r="E289">
        <v>28</v>
      </c>
      <c r="F289" t="s">
        <v>18</v>
      </c>
      <c r="G289">
        <v>4</v>
      </c>
      <c r="H289">
        <v>30</v>
      </c>
      <c r="I289">
        <f t="shared" si="8"/>
        <v>120</v>
      </c>
      <c r="J289" s="4">
        <f t="shared" si="9"/>
        <v>1.7999999999999998</v>
      </c>
      <c r="K289" t="str">
        <f>IF(RetailSales[[#This Row],[Age]]&lt;30,"Young Adult",IF(RetailSales[[#This Row],[Age]]&lt;50,"Adult","Senior"))</f>
        <v>Young Adult</v>
      </c>
      <c r="L289" t="str">
        <f>_xlfn.CONCAT(I289,"_",RetailSales[[#This Row],[Product Category]])</f>
        <v>120_Clothing</v>
      </c>
    </row>
    <row r="290" spans="1:12">
      <c r="A290">
        <v>289</v>
      </c>
      <c r="B290">
        <v>45260</v>
      </c>
      <c r="C290" t="s">
        <v>317</v>
      </c>
      <c r="D290" t="s">
        <v>13</v>
      </c>
      <c r="E290">
        <v>53</v>
      </c>
      <c r="F290" t="s">
        <v>20</v>
      </c>
      <c r="G290">
        <v>2</v>
      </c>
      <c r="H290">
        <v>30</v>
      </c>
      <c r="I290">
        <f t="shared" si="8"/>
        <v>60</v>
      </c>
      <c r="J290" s="4">
        <f t="shared" si="9"/>
        <v>0.89999999999999991</v>
      </c>
      <c r="K290" t="str">
        <f>IF(RetailSales[[#This Row],[Age]]&lt;30,"Young Adult",IF(RetailSales[[#This Row],[Age]]&lt;50,"Adult","Senior"))</f>
        <v>Senior</v>
      </c>
      <c r="L290" t="str">
        <f>_xlfn.CONCAT(I290,"_",RetailSales[[#This Row],[Product Category]])</f>
        <v>60_Electronics</v>
      </c>
    </row>
    <row r="291" spans="1:12">
      <c r="A291">
        <v>290</v>
      </c>
      <c r="B291">
        <v>45203</v>
      </c>
      <c r="C291" t="s">
        <v>318</v>
      </c>
      <c r="D291" t="s">
        <v>17</v>
      </c>
      <c r="E291">
        <v>30</v>
      </c>
      <c r="F291" t="s">
        <v>14</v>
      </c>
      <c r="G291">
        <v>2</v>
      </c>
      <c r="H291">
        <v>300</v>
      </c>
      <c r="I291">
        <f t="shared" si="8"/>
        <v>600</v>
      </c>
      <c r="J291" s="4">
        <f t="shared" si="9"/>
        <v>9</v>
      </c>
      <c r="K291" t="str">
        <f>IF(RetailSales[[#This Row],[Age]]&lt;30,"Young Adult",IF(RetailSales[[#This Row],[Age]]&lt;50,"Adult","Senior"))</f>
        <v>Adult</v>
      </c>
      <c r="L291" t="str">
        <f>_xlfn.CONCAT(I291,"_",RetailSales[[#This Row],[Product Category]])</f>
        <v>600_Beauty</v>
      </c>
    </row>
    <row r="292" spans="1:12">
      <c r="A292">
        <v>291</v>
      </c>
      <c r="B292">
        <v>44934</v>
      </c>
      <c r="C292" t="s">
        <v>319</v>
      </c>
      <c r="D292" t="s">
        <v>13</v>
      </c>
      <c r="E292">
        <v>60</v>
      </c>
      <c r="F292" t="s">
        <v>18</v>
      </c>
      <c r="G292">
        <v>2</v>
      </c>
      <c r="H292">
        <v>300</v>
      </c>
      <c r="I292">
        <f t="shared" si="8"/>
        <v>600</v>
      </c>
      <c r="J292" s="4">
        <f t="shared" si="9"/>
        <v>9</v>
      </c>
      <c r="K292" t="str">
        <f>IF(RetailSales[[#This Row],[Age]]&lt;30,"Young Adult",IF(RetailSales[[#This Row],[Age]]&lt;50,"Adult","Senior"))</f>
        <v>Senior</v>
      </c>
      <c r="L292" t="str">
        <f>_xlfn.CONCAT(I292,"_",RetailSales[[#This Row],[Product Category]])</f>
        <v>600_Clothing</v>
      </c>
    </row>
    <row r="293" spans="1:12">
      <c r="A293">
        <v>292</v>
      </c>
      <c r="B293">
        <v>44974</v>
      </c>
      <c r="C293" t="s">
        <v>320</v>
      </c>
      <c r="D293" t="s">
        <v>13</v>
      </c>
      <c r="E293">
        <v>20</v>
      </c>
      <c r="F293" t="s">
        <v>14</v>
      </c>
      <c r="G293">
        <v>4</v>
      </c>
      <c r="H293">
        <v>300</v>
      </c>
      <c r="I293">
        <f t="shared" si="8"/>
        <v>1200</v>
      </c>
      <c r="J293" s="4">
        <f t="shared" si="9"/>
        <v>18</v>
      </c>
      <c r="K293" t="str">
        <f>IF(RetailSales[[#This Row],[Age]]&lt;30,"Young Adult",IF(RetailSales[[#This Row],[Age]]&lt;50,"Adult","Senior"))</f>
        <v>Young Adult</v>
      </c>
      <c r="L293" t="str">
        <f>_xlfn.CONCAT(I293,"_",RetailSales[[#This Row],[Product Category]])</f>
        <v>1200_Beauty</v>
      </c>
    </row>
    <row r="294" spans="1:12">
      <c r="A294">
        <v>293</v>
      </c>
      <c r="B294">
        <v>45048</v>
      </c>
      <c r="C294" t="s">
        <v>321</v>
      </c>
      <c r="D294" t="s">
        <v>13</v>
      </c>
      <c r="E294">
        <v>50</v>
      </c>
      <c r="F294" t="s">
        <v>20</v>
      </c>
      <c r="G294">
        <v>3</v>
      </c>
      <c r="H294">
        <v>30</v>
      </c>
      <c r="I294">
        <f t="shared" si="8"/>
        <v>90</v>
      </c>
      <c r="J294" s="4">
        <f t="shared" si="9"/>
        <v>1.3499999999999999</v>
      </c>
      <c r="K294" t="str">
        <f>IF(RetailSales[[#This Row],[Age]]&lt;30,"Young Adult",IF(RetailSales[[#This Row],[Age]]&lt;50,"Adult","Senior"))</f>
        <v>Senior</v>
      </c>
      <c r="L294" t="str">
        <f>_xlfn.CONCAT(I294,"_",RetailSales[[#This Row],[Product Category]])</f>
        <v>90_Electronics</v>
      </c>
    </row>
    <row r="295" spans="1:12">
      <c r="A295">
        <v>294</v>
      </c>
      <c r="B295">
        <v>45012</v>
      </c>
      <c r="C295" t="s">
        <v>322</v>
      </c>
      <c r="D295" t="s">
        <v>17</v>
      </c>
      <c r="E295">
        <v>23</v>
      </c>
      <c r="F295" t="s">
        <v>18</v>
      </c>
      <c r="G295">
        <v>3</v>
      </c>
      <c r="H295">
        <v>30</v>
      </c>
      <c r="I295">
        <f t="shared" si="8"/>
        <v>90</v>
      </c>
      <c r="J295" s="4">
        <f t="shared" si="9"/>
        <v>1.3499999999999999</v>
      </c>
      <c r="K295" t="str">
        <f>IF(RetailSales[[#This Row],[Age]]&lt;30,"Young Adult",IF(RetailSales[[#This Row],[Age]]&lt;50,"Adult","Senior"))</f>
        <v>Young Adult</v>
      </c>
      <c r="L295" t="str">
        <f>_xlfn.CONCAT(I295,"_",RetailSales[[#This Row],[Product Category]])</f>
        <v>90_Clothing</v>
      </c>
    </row>
    <row r="296" spans="1:12">
      <c r="A296">
        <v>295</v>
      </c>
      <c r="B296">
        <v>45135</v>
      </c>
      <c r="C296" t="s">
        <v>323</v>
      </c>
      <c r="D296" t="s">
        <v>17</v>
      </c>
      <c r="E296">
        <v>27</v>
      </c>
      <c r="F296" t="s">
        <v>14</v>
      </c>
      <c r="G296">
        <v>3</v>
      </c>
      <c r="H296">
        <v>300</v>
      </c>
      <c r="I296">
        <f t="shared" si="8"/>
        <v>900</v>
      </c>
      <c r="J296" s="4">
        <f t="shared" si="9"/>
        <v>13.5</v>
      </c>
      <c r="K296" t="str">
        <f>IF(RetailSales[[#This Row],[Age]]&lt;30,"Young Adult",IF(RetailSales[[#This Row],[Age]]&lt;50,"Adult","Senior"))</f>
        <v>Young Adult</v>
      </c>
      <c r="L296" t="str">
        <f>_xlfn.CONCAT(I296,"_",RetailSales[[#This Row],[Product Category]])</f>
        <v>900_Beauty</v>
      </c>
    </row>
    <row r="297" spans="1:12">
      <c r="A297">
        <v>296</v>
      </c>
      <c r="B297">
        <v>45175</v>
      </c>
      <c r="C297" t="s">
        <v>324</v>
      </c>
      <c r="D297" t="s">
        <v>17</v>
      </c>
      <c r="E297">
        <v>22</v>
      </c>
      <c r="F297" t="s">
        <v>18</v>
      </c>
      <c r="G297">
        <v>4</v>
      </c>
      <c r="H297">
        <v>300</v>
      </c>
      <c r="I297">
        <f t="shared" si="8"/>
        <v>1200</v>
      </c>
      <c r="J297" s="4">
        <f t="shared" si="9"/>
        <v>18</v>
      </c>
      <c r="K297" t="str">
        <f>IF(RetailSales[[#This Row],[Age]]&lt;30,"Young Adult",IF(RetailSales[[#This Row],[Age]]&lt;50,"Adult","Senior"))</f>
        <v>Young Adult</v>
      </c>
      <c r="L297" t="str">
        <f>_xlfn.CONCAT(I297,"_",RetailSales[[#This Row],[Product Category]])</f>
        <v>1200_Clothing</v>
      </c>
    </row>
    <row r="298" spans="1:12">
      <c r="A298">
        <v>297</v>
      </c>
      <c r="B298">
        <v>45173</v>
      </c>
      <c r="C298" t="s">
        <v>325</v>
      </c>
      <c r="D298" t="s">
        <v>17</v>
      </c>
      <c r="E298">
        <v>40</v>
      </c>
      <c r="F298" t="s">
        <v>20</v>
      </c>
      <c r="G298">
        <v>2</v>
      </c>
      <c r="H298">
        <v>500</v>
      </c>
      <c r="I298">
        <f t="shared" si="8"/>
        <v>1000</v>
      </c>
      <c r="J298" s="4">
        <f t="shared" si="9"/>
        <v>15</v>
      </c>
      <c r="K298" t="str">
        <f>IF(RetailSales[[#This Row],[Age]]&lt;30,"Young Adult",IF(RetailSales[[#This Row],[Age]]&lt;50,"Adult","Senior"))</f>
        <v>Adult</v>
      </c>
      <c r="L298" t="str">
        <f>_xlfn.CONCAT(I298,"_",RetailSales[[#This Row],[Product Category]])</f>
        <v>1000_Electronics</v>
      </c>
    </row>
    <row r="299" spans="1:12">
      <c r="A299">
        <v>298</v>
      </c>
      <c r="B299">
        <v>45036</v>
      </c>
      <c r="C299" t="s">
        <v>326</v>
      </c>
      <c r="D299" t="s">
        <v>13</v>
      </c>
      <c r="E299">
        <v>27</v>
      </c>
      <c r="F299" t="s">
        <v>14</v>
      </c>
      <c r="G299">
        <v>4</v>
      </c>
      <c r="H299">
        <v>300</v>
      </c>
      <c r="I299">
        <f t="shared" si="8"/>
        <v>1200</v>
      </c>
      <c r="J299" s="4">
        <f t="shared" si="9"/>
        <v>18</v>
      </c>
      <c r="K299" t="str">
        <f>IF(RetailSales[[#This Row],[Age]]&lt;30,"Young Adult",IF(RetailSales[[#This Row],[Age]]&lt;50,"Adult","Senior"))</f>
        <v>Young Adult</v>
      </c>
      <c r="L299" t="str">
        <f>_xlfn.CONCAT(I299,"_",RetailSales[[#This Row],[Product Category]])</f>
        <v>1200_Beauty</v>
      </c>
    </row>
    <row r="300" spans="1:12">
      <c r="A300">
        <v>299</v>
      </c>
      <c r="B300">
        <v>45132</v>
      </c>
      <c r="C300" t="s">
        <v>327</v>
      </c>
      <c r="D300" t="s">
        <v>13</v>
      </c>
      <c r="E300">
        <v>61</v>
      </c>
      <c r="F300" t="s">
        <v>20</v>
      </c>
      <c r="G300">
        <v>2</v>
      </c>
      <c r="H300">
        <v>500</v>
      </c>
      <c r="I300">
        <f t="shared" si="8"/>
        <v>1000</v>
      </c>
      <c r="J300" s="4">
        <f t="shared" si="9"/>
        <v>15</v>
      </c>
      <c r="K300" t="str">
        <f>IF(RetailSales[[#This Row],[Age]]&lt;30,"Young Adult",IF(RetailSales[[#This Row],[Age]]&lt;50,"Adult","Senior"))</f>
        <v>Senior</v>
      </c>
      <c r="L300" t="str">
        <f>_xlfn.CONCAT(I300,"_",RetailSales[[#This Row],[Product Category]])</f>
        <v>1000_Electronics</v>
      </c>
    </row>
    <row r="301" spans="1:12">
      <c r="A301">
        <v>300</v>
      </c>
      <c r="B301">
        <v>44957</v>
      </c>
      <c r="C301" t="s">
        <v>328</v>
      </c>
      <c r="D301" t="s">
        <v>17</v>
      </c>
      <c r="E301">
        <v>19</v>
      </c>
      <c r="F301" t="s">
        <v>20</v>
      </c>
      <c r="G301">
        <v>4</v>
      </c>
      <c r="H301">
        <v>50</v>
      </c>
      <c r="I301">
        <f t="shared" si="8"/>
        <v>200</v>
      </c>
      <c r="J301" s="4">
        <f t="shared" si="9"/>
        <v>3</v>
      </c>
      <c r="K301" t="str">
        <f>IF(RetailSales[[#This Row],[Age]]&lt;30,"Young Adult",IF(RetailSales[[#This Row],[Age]]&lt;50,"Adult","Senior"))</f>
        <v>Young Adult</v>
      </c>
      <c r="L301" t="str">
        <f>_xlfn.CONCAT(I301,"_",RetailSales[[#This Row],[Product Category]])</f>
        <v>200_Electronics</v>
      </c>
    </row>
    <row r="302" spans="1:12">
      <c r="A302">
        <v>301</v>
      </c>
      <c r="B302">
        <v>45011</v>
      </c>
      <c r="C302" t="s">
        <v>329</v>
      </c>
      <c r="D302" t="s">
        <v>13</v>
      </c>
      <c r="E302">
        <v>30</v>
      </c>
      <c r="F302" t="s">
        <v>18</v>
      </c>
      <c r="G302">
        <v>4</v>
      </c>
      <c r="H302">
        <v>30</v>
      </c>
      <c r="I302">
        <f t="shared" si="8"/>
        <v>120</v>
      </c>
      <c r="J302" s="4">
        <f t="shared" si="9"/>
        <v>1.7999999999999998</v>
      </c>
      <c r="K302" t="str">
        <f>IF(RetailSales[[#This Row],[Age]]&lt;30,"Young Adult",IF(RetailSales[[#This Row],[Age]]&lt;50,"Adult","Senior"))</f>
        <v>Adult</v>
      </c>
      <c r="L302" t="str">
        <f>_xlfn.CONCAT(I302,"_",RetailSales[[#This Row],[Product Category]])</f>
        <v>120_Clothing</v>
      </c>
    </row>
    <row r="303" spans="1:12">
      <c r="A303">
        <v>302</v>
      </c>
      <c r="B303">
        <v>45121</v>
      </c>
      <c r="C303" t="s">
        <v>330</v>
      </c>
      <c r="D303" t="s">
        <v>13</v>
      </c>
      <c r="E303">
        <v>57</v>
      </c>
      <c r="F303" t="s">
        <v>14</v>
      </c>
      <c r="G303">
        <v>2</v>
      </c>
      <c r="H303">
        <v>300</v>
      </c>
      <c r="I303">
        <f t="shared" si="8"/>
        <v>600</v>
      </c>
      <c r="J303" s="4">
        <f t="shared" si="9"/>
        <v>9</v>
      </c>
      <c r="K303" t="str">
        <f>IF(RetailSales[[#This Row],[Age]]&lt;30,"Young Adult",IF(RetailSales[[#This Row],[Age]]&lt;50,"Adult","Senior"))</f>
        <v>Senior</v>
      </c>
      <c r="L303" t="str">
        <f>_xlfn.CONCAT(I303,"_",RetailSales[[#This Row],[Product Category]])</f>
        <v>600_Beauty</v>
      </c>
    </row>
    <row r="304" spans="1:12">
      <c r="A304">
        <v>303</v>
      </c>
      <c r="B304">
        <v>44928</v>
      </c>
      <c r="C304" t="s">
        <v>331</v>
      </c>
      <c r="D304" t="s">
        <v>13</v>
      </c>
      <c r="E304">
        <v>19</v>
      </c>
      <c r="F304" t="s">
        <v>20</v>
      </c>
      <c r="G304">
        <v>3</v>
      </c>
      <c r="H304">
        <v>30</v>
      </c>
      <c r="I304">
        <f t="shared" si="8"/>
        <v>90</v>
      </c>
      <c r="J304" s="4">
        <f t="shared" si="9"/>
        <v>1.3499999999999999</v>
      </c>
      <c r="K304" t="str">
        <f>IF(RetailSales[[#This Row],[Age]]&lt;30,"Young Adult",IF(RetailSales[[#This Row],[Age]]&lt;50,"Adult","Senior"))</f>
        <v>Young Adult</v>
      </c>
      <c r="L304" t="str">
        <f>_xlfn.CONCAT(I304,"_",RetailSales[[#This Row],[Product Category]])</f>
        <v>90_Electronics</v>
      </c>
    </row>
    <row r="305" spans="1:12">
      <c r="A305">
        <v>304</v>
      </c>
      <c r="B305">
        <v>45126</v>
      </c>
      <c r="C305" t="s">
        <v>332</v>
      </c>
      <c r="D305" t="s">
        <v>17</v>
      </c>
      <c r="E305">
        <v>37</v>
      </c>
      <c r="F305" t="s">
        <v>20</v>
      </c>
      <c r="G305">
        <v>2</v>
      </c>
      <c r="H305">
        <v>30</v>
      </c>
      <c r="I305">
        <f t="shared" si="8"/>
        <v>60</v>
      </c>
      <c r="J305" s="4">
        <f t="shared" si="9"/>
        <v>0.89999999999999991</v>
      </c>
      <c r="K305" t="str">
        <f>IF(RetailSales[[#This Row],[Age]]&lt;30,"Young Adult",IF(RetailSales[[#This Row],[Age]]&lt;50,"Adult","Senior"))</f>
        <v>Adult</v>
      </c>
      <c r="L305" t="str">
        <f>_xlfn.CONCAT(I305,"_",RetailSales[[#This Row],[Product Category]])</f>
        <v>60_Electronics</v>
      </c>
    </row>
    <row r="306" spans="1:12">
      <c r="A306">
        <v>305</v>
      </c>
      <c r="B306">
        <v>45062</v>
      </c>
      <c r="C306" t="s">
        <v>333</v>
      </c>
      <c r="D306" t="s">
        <v>17</v>
      </c>
      <c r="E306">
        <v>18</v>
      </c>
      <c r="F306" t="s">
        <v>14</v>
      </c>
      <c r="G306">
        <v>1</v>
      </c>
      <c r="H306">
        <v>30</v>
      </c>
      <c r="I306">
        <f t="shared" si="8"/>
        <v>30</v>
      </c>
      <c r="J306" s="4">
        <f t="shared" si="9"/>
        <v>0.44999999999999996</v>
      </c>
      <c r="K306" t="str">
        <f>IF(RetailSales[[#This Row],[Age]]&lt;30,"Young Adult",IF(RetailSales[[#This Row],[Age]]&lt;50,"Adult","Senior"))</f>
        <v>Young Adult</v>
      </c>
      <c r="L306" t="str">
        <f>_xlfn.CONCAT(I306,"_",RetailSales[[#This Row],[Product Category]])</f>
        <v>30_Beauty</v>
      </c>
    </row>
    <row r="307" spans="1:12">
      <c r="A307">
        <v>306</v>
      </c>
      <c r="B307">
        <v>45159</v>
      </c>
      <c r="C307" t="s">
        <v>334</v>
      </c>
      <c r="D307" t="s">
        <v>13</v>
      </c>
      <c r="E307">
        <v>54</v>
      </c>
      <c r="F307" t="s">
        <v>20</v>
      </c>
      <c r="G307">
        <v>1</v>
      </c>
      <c r="H307">
        <v>50</v>
      </c>
      <c r="I307">
        <f t="shared" si="8"/>
        <v>50</v>
      </c>
      <c r="J307" s="4">
        <f t="shared" si="9"/>
        <v>0.75</v>
      </c>
      <c r="K307" t="str">
        <f>IF(RetailSales[[#This Row],[Age]]&lt;30,"Young Adult",IF(RetailSales[[#This Row],[Age]]&lt;50,"Adult","Senior"))</f>
        <v>Senior</v>
      </c>
      <c r="L307" t="str">
        <f>_xlfn.CONCAT(I307,"_",RetailSales[[#This Row],[Product Category]])</f>
        <v>50_Electronics</v>
      </c>
    </row>
    <row r="308" spans="1:12">
      <c r="A308">
        <v>307</v>
      </c>
      <c r="B308">
        <v>45073</v>
      </c>
      <c r="C308" t="s">
        <v>335</v>
      </c>
      <c r="D308" t="s">
        <v>17</v>
      </c>
      <c r="E308">
        <v>26</v>
      </c>
      <c r="F308" t="s">
        <v>20</v>
      </c>
      <c r="G308">
        <v>2</v>
      </c>
      <c r="H308">
        <v>25</v>
      </c>
      <c r="I308">
        <f t="shared" si="8"/>
        <v>50</v>
      </c>
      <c r="J308" s="4">
        <f t="shared" si="9"/>
        <v>0.75</v>
      </c>
      <c r="K308" t="str">
        <f>IF(RetailSales[[#This Row],[Age]]&lt;30,"Young Adult",IF(RetailSales[[#This Row],[Age]]&lt;50,"Adult","Senior"))</f>
        <v>Young Adult</v>
      </c>
      <c r="L308" t="str">
        <f>_xlfn.CONCAT(I308,"_",RetailSales[[#This Row],[Product Category]])</f>
        <v>50_Electronics</v>
      </c>
    </row>
    <row r="309" spans="1:12">
      <c r="A309">
        <v>308</v>
      </c>
      <c r="B309">
        <v>45143</v>
      </c>
      <c r="C309" t="s">
        <v>336</v>
      </c>
      <c r="D309" t="s">
        <v>17</v>
      </c>
      <c r="E309">
        <v>34</v>
      </c>
      <c r="F309" t="s">
        <v>14</v>
      </c>
      <c r="G309">
        <v>4</v>
      </c>
      <c r="H309">
        <v>300</v>
      </c>
      <c r="I309">
        <f t="shared" si="8"/>
        <v>1200</v>
      </c>
      <c r="J309" s="4">
        <f t="shared" si="9"/>
        <v>18</v>
      </c>
      <c r="K309" t="str">
        <f>IF(RetailSales[[#This Row],[Age]]&lt;30,"Young Adult",IF(RetailSales[[#This Row],[Age]]&lt;50,"Adult","Senior"))</f>
        <v>Adult</v>
      </c>
      <c r="L309" t="str">
        <f>_xlfn.CONCAT(I309,"_",RetailSales[[#This Row],[Product Category]])</f>
        <v>1200_Beauty</v>
      </c>
    </row>
    <row r="310" spans="1:12">
      <c r="A310">
        <v>309</v>
      </c>
      <c r="B310">
        <v>45283</v>
      </c>
      <c r="C310" t="s">
        <v>337</v>
      </c>
      <c r="D310" t="s">
        <v>17</v>
      </c>
      <c r="E310">
        <v>26</v>
      </c>
      <c r="F310" t="s">
        <v>14</v>
      </c>
      <c r="G310">
        <v>1</v>
      </c>
      <c r="H310">
        <v>25</v>
      </c>
      <c r="I310">
        <f t="shared" si="8"/>
        <v>25</v>
      </c>
      <c r="J310" s="4">
        <f t="shared" si="9"/>
        <v>0.375</v>
      </c>
      <c r="K310" t="str">
        <f>IF(RetailSales[[#This Row],[Age]]&lt;30,"Young Adult",IF(RetailSales[[#This Row],[Age]]&lt;50,"Adult","Senior"))</f>
        <v>Young Adult</v>
      </c>
      <c r="L310" t="str">
        <f>_xlfn.CONCAT(I310,"_",RetailSales[[#This Row],[Product Category]])</f>
        <v>25_Beauty</v>
      </c>
    </row>
    <row r="311" spans="1:12">
      <c r="A311">
        <v>310</v>
      </c>
      <c r="B311">
        <v>45211</v>
      </c>
      <c r="C311" t="s">
        <v>338</v>
      </c>
      <c r="D311" t="s">
        <v>17</v>
      </c>
      <c r="E311">
        <v>28</v>
      </c>
      <c r="F311" t="s">
        <v>14</v>
      </c>
      <c r="G311">
        <v>1</v>
      </c>
      <c r="H311">
        <v>25</v>
      </c>
      <c r="I311">
        <f t="shared" si="8"/>
        <v>25</v>
      </c>
      <c r="J311" s="4">
        <f t="shared" si="9"/>
        <v>0.375</v>
      </c>
      <c r="K311" t="str">
        <f>IF(RetailSales[[#This Row],[Age]]&lt;30,"Young Adult",IF(RetailSales[[#This Row],[Age]]&lt;50,"Adult","Senior"))</f>
        <v>Young Adult</v>
      </c>
      <c r="L311" t="str">
        <f>_xlfn.CONCAT(I311,"_",RetailSales[[#This Row],[Product Category]])</f>
        <v>25_Beauty</v>
      </c>
    </row>
    <row r="312" spans="1:12">
      <c r="A312">
        <v>311</v>
      </c>
      <c r="B312">
        <v>45265</v>
      </c>
      <c r="C312" t="s">
        <v>339</v>
      </c>
      <c r="D312" t="s">
        <v>17</v>
      </c>
      <c r="E312">
        <v>32</v>
      </c>
      <c r="F312" t="s">
        <v>14</v>
      </c>
      <c r="G312">
        <v>4</v>
      </c>
      <c r="H312">
        <v>25</v>
      </c>
      <c r="I312">
        <f t="shared" si="8"/>
        <v>100</v>
      </c>
      <c r="J312" s="4">
        <f t="shared" si="9"/>
        <v>1.5</v>
      </c>
      <c r="K312" t="str">
        <f>IF(RetailSales[[#This Row],[Age]]&lt;30,"Young Adult",IF(RetailSales[[#This Row],[Age]]&lt;50,"Adult","Senior"))</f>
        <v>Adult</v>
      </c>
      <c r="L312" t="str">
        <f>_xlfn.CONCAT(I312,"_",RetailSales[[#This Row],[Product Category]])</f>
        <v>100_Beauty</v>
      </c>
    </row>
    <row r="313" spans="1:12">
      <c r="A313">
        <v>312</v>
      </c>
      <c r="B313">
        <v>45176</v>
      </c>
      <c r="C313" t="s">
        <v>340</v>
      </c>
      <c r="D313" t="s">
        <v>13</v>
      </c>
      <c r="E313">
        <v>41</v>
      </c>
      <c r="F313" t="s">
        <v>18</v>
      </c>
      <c r="G313">
        <v>4</v>
      </c>
      <c r="H313">
        <v>30</v>
      </c>
      <c r="I313">
        <f t="shared" si="8"/>
        <v>120</v>
      </c>
      <c r="J313" s="4">
        <f t="shared" si="9"/>
        <v>1.7999999999999998</v>
      </c>
      <c r="K313" t="str">
        <f>IF(RetailSales[[#This Row],[Age]]&lt;30,"Young Adult",IF(RetailSales[[#This Row],[Age]]&lt;50,"Adult","Senior"))</f>
        <v>Adult</v>
      </c>
      <c r="L313" t="str">
        <f>_xlfn.CONCAT(I313,"_",RetailSales[[#This Row],[Product Category]])</f>
        <v>120_Clothing</v>
      </c>
    </row>
    <row r="314" spans="1:12">
      <c r="A314">
        <v>313</v>
      </c>
      <c r="B314">
        <v>45006</v>
      </c>
      <c r="C314" t="s">
        <v>341</v>
      </c>
      <c r="D314" t="s">
        <v>17</v>
      </c>
      <c r="E314">
        <v>55</v>
      </c>
      <c r="F314" t="s">
        <v>14</v>
      </c>
      <c r="G314">
        <v>3</v>
      </c>
      <c r="H314">
        <v>500</v>
      </c>
      <c r="I314">
        <f t="shared" si="8"/>
        <v>1500</v>
      </c>
      <c r="J314" s="4">
        <f t="shared" si="9"/>
        <v>22.5</v>
      </c>
      <c r="K314" t="str">
        <f>IF(RetailSales[[#This Row],[Age]]&lt;30,"Young Adult",IF(RetailSales[[#This Row],[Age]]&lt;50,"Adult","Senior"))</f>
        <v>Senior</v>
      </c>
      <c r="L314" t="str">
        <f>_xlfn.CONCAT(I314,"_",RetailSales[[#This Row],[Product Category]])</f>
        <v>1500_Beauty</v>
      </c>
    </row>
    <row r="315" spans="1:12">
      <c r="A315">
        <v>314</v>
      </c>
      <c r="B315">
        <v>45024</v>
      </c>
      <c r="C315" t="s">
        <v>342</v>
      </c>
      <c r="D315" t="s">
        <v>13</v>
      </c>
      <c r="E315">
        <v>52</v>
      </c>
      <c r="F315" t="s">
        <v>18</v>
      </c>
      <c r="G315">
        <v>4</v>
      </c>
      <c r="H315">
        <v>30</v>
      </c>
      <c r="I315">
        <f t="shared" si="8"/>
        <v>120</v>
      </c>
      <c r="J315" s="4">
        <f t="shared" si="9"/>
        <v>1.7999999999999998</v>
      </c>
      <c r="K315" t="str">
        <f>IF(RetailSales[[#This Row],[Age]]&lt;30,"Young Adult",IF(RetailSales[[#This Row],[Age]]&lt;50,"Adult","Senior"))</f>
        <v>Senior</v>
      </c>
      <c r="L315" t="str">
        <f>_xlfn.CONCAT(I315,"_",RetailSales[[#This Row],[Product Category]])</f>
        <v>120_Clothing</v>
      </c>
    </row>
    <row r="316" spans="1:12">
      <c r="A316">
        <v>315</v>
      </c>
      <c r="B316">
        <v>45078</v>
      </c>
      <c r="C316" t="s">
        <v>343</v>
      </c>
      <c r="D316" t="s">
        <v>13</v>
      </c>
      <c r="E316">
        <v>47</v>
      </c>
      <c r="F316" t="s">
        <v>18</v>
      </c>
      <c r="G316">
        <v>2</v>
      </c>
      <c r="H316">
        <v>30</v>
      </c>
      <c r="I316">
        <f t="shared" si="8"/>
        <v>60</v>
      </c>
      <c r="J316" s="4">
        <f t="shared" si="9"/>
        <v>0.89999999999999991</v>
      </c>
      <c r="K316" t="str">
        <f>IF(RetailSales[[#This Row],[Age]]&lt;30,"Young Adult",IF(RetailSales[[#This Row],[Age]]&lt;50,"Adult","Senior"))</f>
        <v>Adult</v>
      </c>
      <c r="L316" t="str">
        <f>_xlfn.CONCAT(I316,"_",RetailSales[[#This Row],[Product Category]])</f>
        <v>60_Clothing</v>
      </c>
    </row>
    <row r="317" spans="1:12">
      <c r="A317">
        <v>316</v>
      </c>
      <c r="B317">
        <v>45038</v>
      </c>
      <c r="C317" t="s">
        <v>344</v>
      </c>
      <c r="D317" t="s">
        <v>17</v>
      </c>
      <c r="E317">
        <v>48</v>
      </c>
      <c r="F317" t="s">
        <v>18</v>
      </c>
      <c r="G317">
        <v>2</v>
      </c>
      <c r="H317">
        <v>25</v>
      </c>
      <c r="I317">
        <f t="shared" si="8"/>
        <v>50</v>
      </c>
      <c r="J317" s="4">
        <f t="shared" si="9"/>
        <v>0.75</v>
      </c>
      <c r="K317" t="str">
        <f>IF(RetailSales[[#This Row],[Age]]&lt;30,"Young Adult",IF(RetailSales[[#This Row],[Age]]&lt;50,"Adult","Senior"))</f>
        <v>Adult</v>
      </c>
      <c r="L317" t="str">
        <f>_xlfn.CONCAT(I317,"_",RetailSales[[#This Row],[Product Category]])</f>
        <v>50_Clothing</v>
      </c>
    </row>
    <row r="318" spans="1:12">
      <c r="A318">
        <v>317</v>
      </c>
      <c r="B318">
        <v>44956</v>
      </c>
      <c r="C318" t="s">
        <v>345</v>
      </c>
      <c r="D318" t="s">
        <v>13</v>
      </c>
      <c r="E318">
        <v>22</v>
      </c>
      <c r="F318" t="s">
        <v>20</v>
      </c>
      <c r="G318">
        <v>3</v>
      </c>
      <c r="H318">
        <v>30</v>
      </c>
      <c r="I318">
        <f t="shared" si="8"/>
        <v>90</v>
      </c>
      <c r="J318" s="4">
        <f t="shared" si="9"/>
        <v>1.3499999999999999</v>
      </c>
      <c r="K318" t="str">
        <f>IF(RetailSales[[#This Row],[Age]]&lt;30,"Young Adult",IF(RetailSales[[#This Row],[Age]]&lt;50,"Adult","Senior"))</f>
        <v>Young Adult</v>
      </c>
      <c r="L318" t="str">
        <f>_xlfn.CONCAT(I318,"_",RetailSales[[#This Row],[Product Category]])</f>
        <v>90_Electronics</v>
      </c>
    </row>
    <row r="319" spans="1:12">
      <c r="A319">
        <v>318</v>
      </c>
      <c r="B319">
        <v>45223</v>
      </c>
      <c r="C319" t="s">
        <v>346</v>
      </c>
      <c r="D319" t="s">
        <v>13</v>
      </c>
      <c r="E319">
        <v>61</v>
      </c>
      <c r="F319" t="s">
        <v>18</v>
      </c>
      <c r="G319">
        <v>1</v>
      </c>
      <c r="H319">
        <v>25</v>
      </c>
      <c r="I319">
        <f t="shared" si="8"/>
        <v>25</v>
      </c>
      <c r="J319" s="4">
        <f t="shared" si="9"/>
        <v>0.375</v>
      </c>
      <c r="K319" t="str">
        <f>IF(RetailSales[[#This Row],[Age]]&lt;30,"Young Adult",IF(RetailSales[[#This Row],[Age]]&lt;50,"Adult","Senior"))</f>
        <v>Senior</v>
      </c>
      <c r="L319" t="str">
        <f>_xlfn.CONCAT(I319,"_",RetailSales[[#This Row],[Product Category]])</f>
        <v>25_Clothing</v>
      </c>
    </row>
    <row r="320" spans="1:12">
      <c r="A320">
        <v>319</v>
      </c>
      <c r="B320">
        <v>45204</v>
      </c>
      <c r="C320" t="s">
        <v>347</v>
      </c>
      <c r="D320" t="s">
        <v>13</v>
      </c>
      <c r="E320">
        <v>31</v>
      </c>
      <c r="F320" t="s">
        <v>18</v>
      </c>
      <c r="G320">
        <v>1</v>
      </c>
      <c r="H320">
        <v>500</v>
      </c>
      <c r="I320">
        <f t="shared" si="8"/>
        <v>500</v>
      </c>
      <c r="J320" s="4">
        <f t="shared" si="9"/>
        <v>7.5</v>
      </c>
      <c r="K320" t="str">
        <f>IF(RetailSales[[#This Row],[Age]]&lt;30,"Young Adult",IF(RetailSales[[#This Row],[Age]]&lt;50,"Adult","Senior"))</f>
        <v>Adult</v>
      </c>
      <c r="L320" t="str">
        <f>_xlfn.CONCAT(I320,"_",RetailSales[[#This Row],[Product Category]])</f>
        <v>500_Clothing</v>
      </c>
    </row>
    <row r="321" spans="1:12">
      <c r="A321">
        <v>320</v>
      </c>
      <c r="B321">
        <v>44958</v>
      </c>
      <c r="C321" t="s">
        <v>348</v>
      </c>
      <c r="D321" t="s">
        <v>17</v>
      </c>
      <c r="E321">
        <v>28</v>
      </c>
      <c r="F321" t="s">
        <v>20</v>
      </c>
      <c r="G321">
        <v>4</v>
      </c>
      <c r="H321">
        <v>300</v>
      </c>
      <c r="I321">
        <f t="shared" si="8"/>
        <v>1200</v>
      </c>
      <c r="J321" s="4">
        <f t="shared" si="9"/>
        <v>18</v>
      </c>
      <c r="K321" t="str">
        <f>IF(RetailSales[[#This Row],[Age]]&lt;30,"Young Adult",IF(RetailSales[[#This Row],[Age]]&lt;50,"Adult","Senior"))</f>
        <v>Young Adult</v>
      </c>
      <c r="L321" t="str">
        <f>_xlfn.CONCAT(I321,"_",RetailSales[[#This Row],[Product Category]])</f>
        <v>1200_Electronics</v>
      </c>
    </row>
    <row r="322" spans="1:12">
      <c r="A322">
        <v>321</v>
      </c>
      <c r="B322">
        <v>45087</v>
      </c>
      <c r="C322" t="s">
        <v>349</v>
      </c>
      <c r="D322" t="s">
        <v>17</v>
      </c>
      <c r="E322">
        <v>26</v>
      </c>
      <c r="F322" t="s">
        <v>20</v>
      </c>
      <c r="G322">
        <v>2</v>
      </c>
      <c r="H322">
        <v>25</v>
      </c>
      <c r="I322">
        <f t="shared" si="8"/>
        <v>50</v>
      </c>
      <c r="J322" s="4">
        <f t="shared" si="9"/>
        <v>0.75</v>
      </c>
      <c r="K322" t="str">
        <f>IF(RetailSales[[#This Row],[Age]]&lt;30,"Young Adult",IF(RetailSales[[#This Row],[Age]]&lt;50,"Adult","Senior"))</f>
        <v>Young Adult</v>
      </c>
      <c r="L322" t="str">
        <f>_xlfn.CONCAT(I322,"_",RetailSales[[#This Row],[Product Category]])</f>
        <v>50_Electronics</v>
      </c>
    </row>
    <row r="323" spans="1:12">
      <c r="A323">
        <v>322</v>
      </c>
      <c r="B323">
        <v>44956</v>
      </c>
      <c r="C323" t="s">
        <v>350</v>
      </c>
      <c r="D323" t="s">
        <v>13</v>
      </c>
      <c r="E323">
        <v>51</v>
      </c>
      <c r="F323" t="s">
        <v>20</v>
      </c>
      <c r="G323">
        <v>1</v>
      </c>
      <c r="H323">
        <v>500</v>
      </c>
      <c r="I323">
        <f t="shared" ref="I323:I386" si="10">G323*H323</f>
        <v>500</v>
      </c>
      <c r="J323" s="4">
        <f t="shared" ref="J323:J386" si="11">I323*$O$3</f>
        <v>7.5</v>
      </c>
      <c r="K323" t="str">
        <f>IF(RetailSales[[#This Row],[Age]]&lt;30,"Young Adult",IF(RetailSales[[#This Row],[Age]]&lt;50,"Adult","Senior"))</f>
        <v>Senior</v>
      </c>
      <c r="L323" t="str">
        <f>_xlfn.CONCAT(I323,"_",RetailSales[[#This Row],[Product Category]])</f>
        <v>500_Electronics</v>
      </c>
    </row>
    <row r="324" spans="1:12">
      <c r="A324">
        <v>323</v>
      </c>
      <c r="B324">
        <v>44952</v>
      </c>
      <c r="C324" t="s">
        <v>351</v>
      </c>
      <c r="D324" t="s">
        <v>17</v>
      </c>
      <c r="E324">
        <v>29</v>
      </c>
      <c r="F324" t="s">
        <v>14</v>
      </c>
      <c r="G324">
        <v>3</v>
      </c>
      <c r="H324">
        <v>300</v>
      </c>
      <c r="I324">
        <f t="shared" si="10"/>
        <v>900</v>
      </c>
      <c r="J324" s="4">
        <f t="shared" si="11"/>
        <v>13.5</v>
      </c>
      <c r="K324" t="str">
        <f>IF(RetailSales[[#This Row],[Age]]&lt;30,"Young Adult",IF(RetailSales[[#This Row],[Age]]&lt;50,"Adult","Senior"))</f>
        <v>Young Adult</v>
      </c>
      <c r="L324" t="str">
        <f>_xlfn.CONCAT(I324,"_",RetailSales[[#This Row],[Product Category]])</f>
        <v>900_Beauty</v>
      </c>
    </row>
    <row r="325" spans="1:12">
      <c r="A325">
        <v>324</v>
      </c>
      <c r="B325">
        <v>45226</v>
      </c>
      <c r="C325" t="s">
        <v>352</v>
      </c>
      <c r="D325" t="s">
        <v>17</v>
      </c>
      <c r="E325">
        <v>52</v>
      </c>
      <c r="F325" t="s">
        <v>20</v>
      </c>
      <c r="G325">
        <v>3</v>
      </c>
      <c r="H325">
        <v>50</v>
      </c>
      <c r="I325">
        <f t="shared" si="10"/>
        <v>150</v>
      </c>
      <c r="J325" s="4">
        <f t="shared" si="11"/>
        <v>2.25</v>
      </c>
      <c r="K325" t="str">
        <f>IF(RetailSales[[#This Row],[Age]]&lt;30,"Young Adult",IF(RetailSales[[#This Row],[Age]]&lt;50,"Adult","Senior"))</f>
        <v>Senior</v>
      </c>
      <c r="L325" t="str">
        <f>_xlfn.CONCAT(I325,"_",RetailSales[[#This Row],[Product Category]])</f>
        <v>150_Electronics</v>
      </c>
    </row>
    <row r="326" spans="1:12">
      <c r="A326">
        <v>325</v>
      </c>
      <c r="B326">
        <v>45171</v>
      </c>
      <c r="C326" t="s">
        <v>353</v>
      </c>
      <c r="D326" t="s">
        <v>17</v>
      </c>
      <c r="E326">
        <v>52</v>
      </c>
      <c r="F326" t="s">
        <v>20</v>
      </c>
      <c r="G326">
        <v>2</v>
      </c>
      <c r="H326">
        <v>25</v>
      </c>
      <c r="I326">
        <f t="shared" si="10"/>
        <v>50</v>
      </c>
      <c r="J326" s="4">
        <f t="shared" si="11"/>
        <v>0.75</v>
      </c>
      <c r="K326" t="str">
        <f>IF(RetailSales[[#This Row],[Age]]&lt;30,"Young Adult",IF(RetailSales[[#This Row],[Age]]&lt;50,"Adult","Senior"))</f>
        <v>Senior</v>
      </c>
      <c r="L326" t="str">
        <f>_xlfn.CONCAT(I326,"_",RetailSales[[#This Row],[Product Category]])</f>
        <v>50_Electronics</v>
      </c>
    </row>
    <row r="327" spans="1:12">
      <c r="A327">
        <v>326</v>
      </c>
      <c r="B327">
        <v>45184</v>
      </c>
      <c r="C327" t="s">
        <v>354</v>
      </c>
      <c r="D327" t="s">
        <v>17</v>
      </c>
      <c r="E327">
        <v>18</v>
      </c>
      <c r="F327" t="s">
        <v>18</v>
      </c>
      <c r="G327">
        <v>3</v>
      </c>
      <c r="H327">
        <v>25</v>
      </c>
      <c r="I327">
        <f t="shared" si="10"/>
        <v>75</v>
      </c>
      <c r="J327" s="4">
        <f t="shared" si="11"/>
        <v>1.125</v>
      </c>
      <c r="K327" t="str">
        <f>IF(RetailSales[[#This Row],[Age]]&lt;30,"Young Adult",IF(RetailSales[[#This Row],[Age]]&lt;50,"Adult","Senior"))</f>
        <v>Young Adult</v>
      </c>
      <c r="L327" t="str">
        <f>_xlfn.CONCAT(I327,"_",RetailSales[[#This Row],[Product Category]])</f>
        <v>75_Clothing</v>
      </c>
    </row>
    <row r="328" spans="1:12">
      <c r="A328">
        <v>327</v>
      </c>
      <c r="B328">
        <v>45198</v>
      </c>
      <c r="C328" t="s">
        <v>355</v>
      </c>
      <c r="D328" t="s">
        <v>13</v>
      </c>
      <c r="E328">
        <v>57</v>
      </c>
      <c r="F328" t="s">
        <v>20</v>
      </c>
      <c r="G328">
        <v>3</v>
      </c>
      <c r="H328">
        <v>50</v>
      </c>
      <c r="I328">
        <f t="shared" si="10"/>
        <v>150</v>
      </c>
      <c r="J328" s="4">
        <f t="shared" si="11"/>
        <v>2.25</v>
      </c>
      <c r="K328" t="str">
        <f>IF(RetailSales[[#This Row],[Age]]&lt;30,"Young Adult",IF(RetailSales[[#This Row],[Age]]&lt;50,"Adult","Senior"))</f>
        <v>Senior</v>
      </c>
      <c r="L328" t="str">
        <f>_xlfn.CONCAT(I328,"_",RetailSales[[#This Row],[Product Category]])</f>
        <v>150_Electronics</v>
      </c>
    </row>
    <row r="329" spans="1:12">
      <c r="A329">
        <v>328</v>
      </c>
      <c r="B329">
        <v>45007</v>
      </c>
      <c r="C329" t="s">
        <v>356</v>
      </c>
      <c r="D329" t="s">
        <v>13</v>
      </c>
      <c r="E329">
        <v>39</v>
      </c>
      <c r="F329" t="s">
        <v>14</v>
      </c>
      <c r="G329">
        <v>2</v>
      </c>
      <c r="H329">
        <v>50</v>
      </c>
      <c r="I329">
        <f t="shared" si="10"/>
        <v>100</v>
      </c>
      <c r="J329" s="4">
        <f t="shared" si="11"/>
        <v>1.5</v>
      </c>
      <c r="K329" t="str">
        <f>IF(RetailSales[[#This Row],[Age]]&lt;30,"Young Adult",IF(RetailSales[[#This Row],[Age]]&lt;50,"Adult","Senior"))</f>
        <v>Adult</v>
      </c>
      <c r="L329" t="str">
        <f>_xlfn.CONCAT(I329,"_",RetailSales[[#This Row],[Product Category]])</f>
        <v>100_Beauty</v>
      </c>
    </row>
    <row r="330" spans="1:12">
      <c r="A330">
        <v>329</v>
      </c>
      <c r="B330">
        <v>44956</v>
      </c>
      <c r="C330" t="s">
        <v>357</v>
      </c>
      <c r="D330" t="s">
        <v>17</v>
      </c>
      <c r="E330">
        <v>46</v>
      </c>
      <c r="F330" t="s">
        <v>20</v>
      </c>
      <c r="G330">
        <v>4</v>
      </c>
      <c r="H330">
        <v>25</v>
      </c>
      <c r="I330">
        <f t="shared" si="10"/>
        <v>100</v>
      </c>
      <c r="J330" s="4">
        <f t="shared" si="11"/>
        <v>1.5</v>
      </c>
      <c r="K330" t="str">
        <f>IF(RetailSales[[#This Row],[Age]]&lt;30,"Young Adult",IF(RetailSales[[#This Row],[Age]]&lt;50,"Adult","Senior"))</f>
        <v>Adult</v>
      </c>
      <c r="L330" t="str">
        <f>_xlfn.CONCAT(I330,"_",RetailSales[[#This Row],[Product Category]])</f>
        <v>100_Electronics</v>
      </c>
    </row>
    <row r="331" spans="1:12">
      <c r="A331">
        <v>330</v>
      </c>
      <c r="B331">
        <v>45187</v>
      </c>
      <c r="C331" t="s">
        <v>358</v>
      </c>
      <c r="D331" t="s">
        <v>17</v>
      </c>
      <c r="E331">
        <v>25</v>
      </c>
      <c r="F331" t="s">
        <v>14</v>
      </c>
      <c r="G331">
        <v>4</v>
      </c>
      <c r="H331">
        <v>50</v>
      </c>
      <c r="I331">
        <f t="shared" si="10"/>
        <v>200</v>
      </c>
      <c r="J331" s="4">
        <f t="shared" si="11"/>
        <v>3</v>
      </c>
      <c r="K331" t="str">
        <f>IF(RetailSales[[#This Row],[Age]]&lt;30,"Young Adult",IF(RetailSales[[#This Row],[Age]]&lt;50,"Adult","Senior"))</f>
        <v>Young Adult</v>
      </c>
      <c r="L331" t="str">
        <f>_xlfn.CONCAT(I331,"_",RetailSales[[#This Row],[Product Category]])</f>
        <v>200_Beauty</v>
      </c>
    </row>
    <row r="332" spans="1:12">
      <c r="A332">
        <v>331</v>
      </c>
      <c r="B332">
        <v>44968</v>
      </c>
      <c r="C332" t="s">
        <v>359</v>
      </c>
      <c r="D332" t="s">
        <v>13</v>
      </c>
      <c r="E332">
        <v>28</v>
      </c>
      <c r="F332" t="s">
        <v>20</v>
      </c>
      <c r="G332">
        <v>3</v>
      </c>
      <c r="H332">
        <v>30</v>
      </c>
      <c r="I332">
        <f t="shared" si="10"/>
        <v>90</v>
      </c>
      <c r="J332" s="4">
        <f t="shared" si="11"/>
        <v>1.3499999999999999</v>
      </c>
      <c r="K332" t="str">
        <f>IF(RetailSales[[#This Row],[Age]]&lt;30,"Young Adult",IF(RetailSales[[#This Row],[Age]]&lt;50,"Adult","Senior"))</f>
        <v>Young Adult</v>
      </c>
      <c r="L332" t="str">
        <f>_xlfn.CONCAT(I332,"_",RetailSales[[#This Row],[Product Category]])</f>
        <v>90_Electronics</v>
      </c>
    </row>
    <row r="333" spans="1:12">
      <c r="A333">
        <v>332</v>
      </c>
      <c r="B333">
        <v>45022</v>
      </c>
      <c r="C333" t="s">
        <v>360</v>
      </c>
      <c r="D333" t="s">
        <v>13</v>
      </c>
      <c r="E333">
        <v>58</v>
      </c>
      <c r="F333" t="s">
        <v>20</v>
      </c>
      <c r="G333">
        <v>4</v>
      </c>
      <c r="H333">
        <v>300</v>
      </c>
      <c r="I333">
        <f t="shared" si="10"/>
        <v>1200</v>
      </c>
      <c r="J333" s="4">
        <f t="shared" si="11"/>
        <v>18</v>
      </c>
      <c r="K333" t="str">
        <f>IF(RetailSales[[#This Row],[Age]]&lt;30,"Young Adult",IF(RetailSales[[#This Row],[Age]]&lt;50,"Adult","Senior"))</f>
        <v>Senior</v>
      </c>
      <c r="L333" t="str">
        <f>_xlfn.CONCAT(I333,"_",RetailSales[[#This Row],[Product Category]])</f>
        <v>1200_Electronics</v>
      </c>
    </row>
    <row r="334" spans="1:12">
      <c r="A334">
        <v>333</v>
      </c>
      <c r="B334">
        <v>44962</v>
      </c>
      <c r="C334" t="s">
        <v>361</v>
      </c>
      <c r="D334" t="s">
        <v>17</v>
      </c>
      <c r="E334">
        <v>54</v>
      </c>
      <c r="F334" t="s">
        <v>20</v>
      </c>
      <c r="G334">
        <v>4</v>
      </c>
      <c r="H334">
        <v>300</v>
      </c>
      <c r="I334">
        <f t="shared" si="10"/>
        <v>1200</v>
      </c>
      <c r="J334" s="4">
        <f t="shared" si="11"/>
        <v>18</v>
      </c>
      <c r="K334" t="str">
        <f>IF(RetailSales[[#This Row],[Age]]&lt;30,"Young Adult",IF(RetailSales[[#This Row],[Age]]&lt;50,"Adult","Senior"))</f>
        <v>Senior</v>
      </c>
      <c r="L334" t="str">
        <f>_xlfn.CONCAT(I334,"_",RetailSales[[#This Row],[Product Category]])</f>
        <v>1200_Electronics</v>
      </c>
    </row>
    <row r="335" spans="1:12">
      <c r="A335">
        <v>334</v>
      </c>
      <c r="B335">
        <v>45231</v>
      </c>
      <c r="C335" t="s">
        <v>362</v>
      </c>
      <c r="D335" t="s">
        <v>13</v>
      </c>
      <c r="E335">
        <v>31</v>
      </c>
      <c r="F335" t="s">
        <v>20</v>
      </c>
      <c r="G335">
        <v>3</v>
      </c>
      <c r="H335">
        <v>300</v>
      </c>
      <c r="I335">
        <f t="shared" si="10"/>
        <v>900</v>
      </c>
      <c r="J335" s="4">
        <f t="shared" si="11"/>
        <v>13.5</v>
      </c>
      <c r="K335" t="str">
        <f>IF(RetailSales[[#This Row],[Age]]&lt;30,"Young Adult",IF(RetailSales[[#This Row],[Age]]&lt;50,"Adult","Senior"))</f>
        <v>Adult</v>
      </c>
      <c r="L335" t="str">
        <f>_xlfn.CONCAT(I335,"_",RetailSales[[#This Row],[Product Category]])</f>
        <v>900_Electronics</v>
      </c>
    </row>
    <row r="336" spans="1:12">
      <c r="A336">
        <v>335</v>
      </c>
      <c r="B336">
        <v>44961</v>
      </c>
      <c r="C336" t="s">
        <v>363</v>
      </c>
      <c r="D336" t="s">
        <v>17</v>
      </c>
      <c r="E336">
        <v>47</v>
      </c>
      <c r="F336" t="s">
        <v>14</v>
      </c>
      <c r="G336">
        <v>4</v>
      </c>
      <c r="H336">
        <v>30</v>
      </c>
      <c r="I336">
        <f t="shared" si="10"/>
        <v>120</v>
      </c>
      <c r="J336" s="4">
        <f t="shared" si="11"/>
        <v>1.7999999999999998</v>
      </c>
      <c r="K336" t="str">
        <f>IF(RetailSales[[#This Row],[Age]]&lt;30,"Young Adult",IF(RetailSales[[#This Row],[Age]]&lt;50,"Adult","Senior"))</f>
        <v>Adult</v>
      </c>
      <c r="L336" t="str">
        <f>_xlfn.CONCAT(I336,"_",RetailSales[[#This Row],[Product Category]])</f>
        <v>120_Beauty</v>
      </c>
    </row>
    <row r="337" spans="1:12">
      <c r="A337">
        <v>336</v>
      </c>
      <c r="B337">
        <v>45272</v>
      </c>
      <c r="C337" t="s">
        <v>364</v>
      </c>
      <c r="D337" t="s">
        <v>17</v>
      </c>
      <c r="E337">
        <v>52</v>
      </c>
      <c r="F337" t="s">
        <v>14</v>
      </c>
      <c r="G337">
        <v>3</v>
      </c>
      <c r="H337">
        <v>50</v>
      </c>
      <c r="I337">
        <f t="shared" si="10"/>
        <v>150</v>
      </c>
      <c r="J337" s="4">
        <f t="shared" si="11"/>
        <v>2.25</v>
      </c>
      <c r="K337" t="str">
        <f>IF(RetailSales[[#This Row],[Age]]&lt;30,"Young Adult",IF(RetailSales[[#This Row],[Age]]&lt;50,"Adult","Senior"))</f>
        <v>Senior</v>
      </c>
      <c r="L337" t="str">
        <f>_xlfn.CONCAT(I337,"_",RetailSales[[#This Row],[Product Category]])</f>
        <v>150_Beauty</v>
      </c>
    </row>
    <row r="338" spans="1:12">
      <c r="A338">
        <v>337</v>
      </c>
      <c r="B338">
        <v>45047</v>
      </c>
      <c r="C338" t="s">
        <v>365</v>
      </c>
      <c r="D338" t="s">
        <v>13</v>
      </c>
      <c r="E338">
        <v>38</v>
      </c>
      <c r="F338" t="s">
        <v>18</v>
      </c>
      <c r="G338">
        <v>1</v>
      </c>
      <c r="H338">
        <v>500</v>
      </c>
      <c r="I338">
        <f t="shared" si="10"/>
        <v>500</v>
      </c>
      <c r="J338" s="4">
        <f t="shared" si="11"/>
        <v>7.5</v>
      </c>
      <c r="K338" t="str">
        <f>IF(RetailSales[[#This Row],[Age]]&lt;30,"Young Adult",IF(RetailSales[[#This Row],[Age]]&lt;50,"Adult","Senior"))</f>
        <v>Adult</v>
      </c>
      <c r="L338" t="str">
        <f>_xlfn.CONCAT(I338,"_",RetailSales[[#This Row],[Product Category]])</f>
        <v>500_Clothing</v>
      </c>
    </row>
    <row r="339" spans="1:12">
      <c r="A339">
        <v>338</v>
      </c>
      <c r="B339">
        <v>45133</v>
      </c>
      <c r="C339" t="s">
        <v>366</v>
      </c>
      <c r="D339" t="s">
        <v>13</v>
      </c>
      <c r="E339">
        <v>54</v>
      </c>
      <c r="F339" t="s">
        <v>14</v>
      </c>
      <c r="G339">
        <v>2</v>
      </c>
      <c r="H339">
        <v>50</v>
      </c>
      <c r="I339">
        <f t="shared" si="10"/>
        <v>100</v>
      </c>
      <c r="J339" s="4">
        <f t="shared" si="11"/>
        <v>1.5</v>
      </c>
      <c r="K339" t="str">
        <f>IF(RetailSales[[#This Row],[Age]]&lt;30,"Young Adult",IF(RetailSales[[#This Row],[Age]]&lt;50,"Adult","Senior"))</f>
        <v>Senior</v>
      </c>
      <c r="L339" t="str">
        <f>_xlfn.CONCAT(I339,"_",RetailSales[[#This Row],[Product Category]])</f>
        <v>100_Beauty</v>
      </c>
    </row>
    <row r="340" spans="1:12">
      <c r="A340">
        <v>339</v>
      </c>
      <c r="B340">
        <v>44988</v>
      </c>
      <c r="C340" t="s">
        <v>367</v>
      </c>
      <c r="D340" t="s">
        <v>17</v>
      </c>
      <c r="E340">
        <v>22</v>
      </c>
      <c r="F340" t="s">
        <v>20</v>
      </c>
      <c r="G340">
        <v>2</v>
      </c>
      <c r="H340">
        <v>25</v>
      </c>
      <c r="I340">
        <f t="shared" si="10"/>
        <v>50</v>
      </c>
      <c r="J340" s="4">
        <f t="shared" si="11"/>
        <v>0.75</v>
      </c>
      <c r="K340" t="str">
        <f>IF(RetailSales[[#This Row],[Age]]&lt;30,"Young Adult",IF(RetailSales[[#This Row],[Age]]&lt;50,"Adult","Senior"))</f>
        <v>Young Adult</v>
      </c>
      <c r="L340" t="str">
        <f>_xlfn.CONCAT(I340,"_",RetailSales[[#This Row],[Product Category]])</f>
        <v>50_Electronics</v>
      </c>
    </row>
    <row r="341" spans="1:12">
      <c r="A341">
        <v>340</v>
      </c>
      <c r="B341">
        <v>45218</v>
      </c>
      <c r="C341" t="s">
        <v>368</v>
      </c>
      <c r="D341" t="s">
        <v>17</v>
      </c>
      <c r="E341">
        <v>36</v>
      </c>
      <c r="F341" t="s">
        <v>18</v>
      </c>
      <c r="G341">
        <v>4</v>
      </c>
      <c r="H341">
        <v>300</v>
      </c>
      <c r="I341">
        <f t="shared" si="10"/>
        <v>1200</v>
      </c>
      <c r="J341" s="4">
        <f t="shared" si="11"/>
        <v>18</v>
      </c>
      <c r="K341" t="str">
        <f>IF(RetailSales[[#This Row],[Age]]&lt;30,"Young Adult",IF(RetailSales[[#This Row],[Age]]&lt;50,"Adult","Senior"))</f>
        <v>Adult</v>
      </c>
      <c r="L341" t="str">
        <f>_xlfn.CONCAT(I341,"_",RetailSales[[#This Row],[Product Category]])</f>
        <v>1200_Clothing</v>
      </c>
    </row>
    <row r="342" spans="1:12">
      <c r="A342">
        <v>341</v>
      </c>
      <c r="B342">
        <v>45053</v>
      </c>
      <c r="C342" t="s">
        <v>369</v>
      </c>
      <c r="D342" t="s">
        <v>13</v>
      </c>
      <c r="E342">
        <v>31</v>
      </c>
      <c r="F342" t="s">
        <v>18</v>
      </c>
      <c r="G342">
        <v>4</v>
      </c>
      <c r="H342">
        <v>50</v>
      </c>
      <c r="I342">
        <f t="shared" si="10"/>
        <v>200</v>
      </c>
      <c r="J342" s="4">
        <f t="shared" si="11"/>
        <v>3</v>
      </c>
      <c r="K342" t="str">
        <f>IF(RetailSales[[#This Row],[Age]]&lt;30,"Young Adult",IF(RetailSales[[#This Row],[Age]]&lt;50,"Adult","Senior"))</f>
        <v>Adult</v>
      </c>
      <c r="L342" t="str">
        <f>_xlfn.CONCAT(I342,"_",RetailSales[[#This Row],[Product Category]])</f>
        <v>200_Clothing</v>
      </c>
    </row>
    <row r="343" spans="1:12">
      <c r="A343">
        <v>342</v>
      </c>
      <c r="B343">
        <v>45223</v>
      </c>
      <c r="C343" t="s">
        <v>370</v>
      </c>
      <c r="D343" t="s">
        <v>17</v>
      </c>
      <c r="E343">
        <v>43</v>
      </c>
      <c r="F343" t="s">
        <v>18</v>
      </c>
      <c r="G343">
        <v>4</v>
      </c>
      <c r="H343">
        <v>500</v>
      </c>
      <c r="I343">
        <f t="shared" si="10"/>
        <v>2000</v>
      </c>
      <c r="J343" s="4">
        <f t="shared" si="11"/>
        <v>30</v>
      </c>
      <c r="K343" t="str">
        <f>IF(RetailSales[[#This Row],[Age]]&lt;30,"Young Adult",IF(RetailSales[[#This Row],[Age]]&lt;50,"Adult","Senior"))</f>
        <v>Adult</v>
      </c>
      <c r="L343" t="str">
        <f>_xlfn.CONCAT(I343,"_",RetailSales[[#This Row],[Product Category]])</f>
        <v>2000_Clothing</v>
      </c>
    </row>
    <row r="344" spans="1:12">
      <c r="A344">
        <v>343</v>
      </c>
      <c r="B344">
        <v>45231</v>
      </c>
      <c r="C344" t="s">
        <v>371</v>
      </c>
      <c r="D344" t="s">
        <v>13</v>
      </c>
      <c r="E344">
        <v>21</v>
      </c>
      <c r="F344" t="s">
        <v>20</v>
      </c>
      <c r="G344">
        <v>2</v>
      </c>
      <c r="H344">
        <v>25</v>
      </c>
      <c r="I344">
        <f t="shared" si="10"/>
        <v>50</v>
      </c>
      <c r="J344" s="4">
        <f t="shared" si="11"/>
        <v>0.75</v>
      </c>
      <c r="K344" t="str">
        <f>IF(RetailSales[[#This Row],[Age]]&lt;30,"Young Adult",IF(RetailSales[[#This Row],[Age]]&lt;50,"Adult","Senior"))</f>
        <v>Young Adult</v>
      </c>
      <c r="L344" t="str">
        <f>_xlfn.CONCAT(I344,"_",RetailSales[[#This Row],[Product Category]])</f>
        <v>50_Electronics</v>
      </c>
    </row>
    <row r="345" spans="1:12">
      <c r="A345">
        <v>344</v>
      </c>
      <c r="B345">
        <v>44947</v>
      </c>
      <c r="C345" t="s">
        <v>372</v>
      </c>
      <c r="D345" t="s">
        <v>17</v>
      </c>
      <c r="E345">
        <v>42</v>
      </c>
      <c r="F345" t="s">
        <v>14</v>
      </c>
      <c r="G345">
        <v>1</v>
      </c>
      <c r="H345">
        <v>30</v>
      </c>
      <c r="I345">
        <f t="shared" si="10"/>
        <v>30</v>
      </c>
      <c r="J345" s="4">
        <f t="shared" si="11"/>
        <v>0.44999999999999996</v>
      </c>
      <c r="K345" t="str">
        <f>IF(RetailSales[[#This Row],[Age]]&lt;30,"Young Adult",IF(RetailSales[[#This Row],[Age]]&lt;50,"Adult","Senior"))</f>
        <v>Adult</v>
      </c>
      <c r="L345" t="str">
        <f>_xlfn.CONCAT(I345,"_",RetailSales[[#This Row],[Product Category]])</f>
        <v>30_Beauty</v>
      </c>
    </row>
    <row r="346" spans="1:12">
      <c r="A346">
        <v>345</v>
      </c>
      <c r="B346">
        <v>45244</v>
      </c>
      <c r="C346" t="s">
        <v>373</v>
      </c>
      <c r="D346" t="s">
        <v>13</v>
      </c>
      <c r="E346">
        <v>62</v>
      </c>
      <c r="F346" t="s">
        <v>20</v>
      </c>
      <c r="G346">
        <v>1</v>
      </c>
      <c r="H346">
        <v>30</v>
      </c>
      <c r="I346">
        <f t="shared" si="10"/>
        <v>30</v>
      </c>
      <c r="J346" s="4">
        <f t="shared" si="11"/>
        <v>0.44999999999999996</v>
      </c>
      <c r="K346" t="str">
        <f>IF(RetailSales[[#This Row],[Age]]&lt;30,"Young Adult",IF(RetailSales[[#This Row],[Age]]&lt;50,"Adult","Senior"))</f>
        <v>Senior</v>
      </c>
      <c r="L346" t="str">
        <f>_xlfn.CONCAT(I346,"_",RetailSales[[#This Row],[Product Category]])</f>
        <v>30_Electronics</v>
      </c>
    </row>
    <row r="347" spans="1:12">
      <c r="A347">
        <v>346</v>
      </c>
      <c r="B347">
        <v>44968</v>
      </c>
      <c r="C347" t="s">
        <v>374</v>
      </c>
      <c r="D347" t="s">
        <v>13</v>
      </c>
      <c r="E347">
        <v>59</v>
      </c>
      <c r="F347" t="s">
        <v>18</v>
      </c>
      <c r="G347">
        <v>2</v>
      </c>
      <c r="H347">
        <v>500</v>
      </c>
      <c r="I347">
        <f t="shared" si="10"/>
        <v>1000</v>
      </c>
      <c r="J347" s="4">
        <f t="shared" si="11"/>
        <v>15</v>
      </c>
      <c r="K347" t="str">
        <f>IF(RetailSales[[#This Row],[Age]]&lt;30,"Young Adult",IF(RetailSales[[#This Row],[Age]]&lt;50,"Adult","Senior"))</f>
        <v>Senior</v>
      </c>
      <c r="L347" t="str">
        <f>_xlfn.CONCAT(I347,"_",RetailSales[[#This Row],[Product Category]])</f>
        <v>1000_Clothing</v>
      </c>
    </row>
    <row r="348" spans="1:12">
      <c r="A348">
        <v>347</v>
      </c>
      <c r="B348">
        <v>45141</v>
      </c>
      <c r="C348" t="s">
        <v>375</v>
      </c>
      <c r="D348" t="s">
        <v>13</v>
      </c>
      <c r="E348">
        <v>42</v>
      </c>
      <c r="F348" t="s">
        <v>20</v>
      </c>
      <c r="G348">
        <v>1</v>
      </c>
      <c r="H348">
        <v>25</v>
      </c>
      <c r="I348">
        <f t="shared" si="10"/>
        <v>25</v>
      </c>
      <c r="J348" s="4">
        <f t="shared" si="11"/>
        <v>0.375</v>
      </c>
      <c r="K348" t="str">
        <f>IF(RetailSales[[#This Row],[Age]]&lt;30,"Young Adult",IF(RetailSales[[#This Row],[Age]]&lt;50,"Adult","Senior"))</f>
        <v>Adult</v>
      </c>
      <c r="L348" t="str">
        <f>_xlfn.CONCAT(I348,"_",RetailSales[[#This Row],[Product Category]])</f>
        <v>25_Electronics</v>
      </c>
    </row>
    <row r="349" spans="1:12">
      <c r="A349">
        <v>348</v>
      </c>
      <c r="B349">
        <v>45263</v>
      </c>
      <c r="C349" t="s">
        <v>376</v>
      </c>
      <c r="D349" t="s">
        <v>17</v>
      </c>
      <c r="E349">
        <v>35</v>
      </c>
      <c r="F349" t="s">
        <v>20</v>
      </c>
      <c r="G349">
        <v>2</v>
      </c>
      <c r="H349">
        <v>300</v>
      </c>
      <c r="I349">
        <f t="shared" si="10"/>
        <v>600</v>
      </c>
      <c r="J349" s="4">
        <f t="shared" si="11"/>
        <v>9</v>
      </c>
      <c r="K349" t="str">
        <f>IF(RetailSales[[#This Row],[Age]]&lt;30,"Young Adult",IF(RetailSales[[#This Row],[Age]]&lt;50,"Adult","Senior"))</f>
        <v>Adult</v>
      </c>
      <c r="L349" t="str">
        <f>_xlfn.CONCAT(I349,"_",RetailSales[[#This Row],[Product Category]])</f>
        <v>600_Electronics</v>
      </c>
    </row>
    <row r="350" spans="1:12">
      <c r="A350">
        <v>349</v>
      </c>
      <c r="B350">
        <v>45225</v>
      </c>
      <c r="C350" t="s">
        <v>377</v>
      </c>
      <c r="D350" t="s">
        <v>17</v>
      </c>
      <c r="E350">
        <v>57</v>
      </c>
      <c r="F350" t="s">
        <v>14</v>
      </c>
      <c r="G350">
        <v>1</v>
      </c>
      <c r="H350">
        <v>50</v>
      </c>
      <c r="I350">
        <f t="shared" si="10"/>
        <v>50</v>
      </c>
      <c r="J350" s="4">
        <f t="shared" si="11"/>
        <v>0.75</v>
      </c>
      <c r="K350" t="str">
        <f>IF(RetailSales[[#This Row],[Age]]&lt;30,"Young Adult",IF(RetailSales[[#This Row],[Age]]&lt;50,"Adult","Senior"))</f>
        <v>Senior</v>
      </c>
      <c r="L350" t="str">
        <f>_xlfn.CONCAT(I350,"_",RetailSales[[#This Row],[Product Category]])</f>
        <v>50_Beauty</v>
      </c>
    </row>
    <row r="351" spans="1:12">
      <c r="A351">
        <v>350</v>
      </c>
      <c r="B351">
        <v>45216</v>
      </c>
      <c r="C351" t="s">
        <v>378</v>
      </c>
      <c r="D351" t="s">
        <v>13</v>
      </c>
      <c r="E351">
        <v>25</v>
      </c>
      <c r="F351" t="s">
        <v>14</v>
      </c>
      <c r="G351">
        <v>3</v>
      </c>
      <c r="H351">
        <v>25</v>
      </c>
      <c r="I351">
        <f t="shared" si="10"/>
        <v>75</v>
      </c>
      <c r="J351" s="4">
        <f t="shared" si="11"/>
        <v>1.125</v>
      </c>
      <c r="K351" t="str">
        <f>IF(RetailSales[[#This Row],[Age]]&lt;30,"Young Adult",IF(RetailSales[[#This Row],[Age]]&lt;50,"Adult","Senior"))</f>
        <v>Young Adult</v>
      </c>
      <c r="L351" t="str">
        <f>_xlfn.CONCAT(I351,"_",RetailSales[[#This Row],[Product Category]])</f>
        <v>75_Beauty</v>
      </c>
    </row>
    <row r="352" spans="1:12">
      <c r="A352">
        <v>351</v>
      </c>
      <c r="B352">
        <v>45194</v>
      </c>
      <c r="C352" t="s">
        <v>379</v>
      </c>
      <c r="D352" t="s">
        <v>17</v>
      </c>
      <c r="E352">
        <v>56</v>
      </c>
      <c r="F352" t="s">
        <v>18</v>
      </c>
      <c r="G352">
        <v>3</v>
      </c>
      <c r="H352">
        <v>30</v>
      </c>
      <c r="I352">
        <f t="shared" si="10"/>
        <v>90</v>
      </c>
      <c r="J352" s="4">
        <f t="shared" si="11"/>
        <v>1.3499999999999999</v>
      </c>
      <c r="K352" t="str">
        <f>IF(RetailSales[[#This Row],[Age]]&lt;30,"Young Adult",IF(RetailSales[[#This Row],[Age]]&lt;50,"Adult","Senior"))</f>
        <v>Senior</v>
      </c>
      <c r="L352" t="str">
        <f>_xlfn.CONCAT(I352,"_",RetailSales[[#This Row],[Product Category]])</f>
        <v>90_Clothing</v>
      </c>
    </row>
    <row r="353" spans="1:12">
      <c r="A353">
        <v>352</v>
      </c>
      <c r="B353">
        <v>45088</v>
      </c>
      <c r="C353" t="s">
        <v>380</v>
      </c>
      <c r="D353" t="s">
        <v>13</v>
      </c>
      <c r="E353">
        <v>57</v>
      </c>
      <c r="F353" t="s">
        <v>20</v>
      </c>
      <c r="G353">
        <v>2</v>
      </c>
      <c r="H353">
        <v>500</v>
      </c>
      <c r="I353">
        <f t="shared" si="10"/>
        <v>1000</v>
      </c>
      <c r="J353" s="4">
        <f t="shared" si="11"/>
        <v>15</v>
      </c>
      <c r="K353" t="str">
        <f>IF(RetailSales[[#This Row],[Age]]&lt;30,"Young Adult",IF(RetailSales[[#This Row],[Age]]&lt;50,"Adult","Senior"))</f>
        <v>Senior</v>
      </c>
      <c r="L353" t="str">
        <f>_xlfn.CONCAT(I353,"_",RetailSales[[#This Row],[Product Category]])</f>
        <v>1000_Electronics</v>
      </c>
    </row>
    <row r="354" spans="1:12">
      <c r="A354">
        <v>353</v>
      </c>
      <c r="B354">
        <v>45060</v>
      </c>
      <c r="C354" t="s">
        <v>381</v>
      </c>
      <c r="D354" t="s">
        <v>13</v>
      </c>
      <c r="E354">
        <v>31</v>
      </c>
      <c r="F354" t="s">
        <v>20</v>
      </c>
      <c r="G354">
        <v>1</v>
      </c>
      <c r="H354">
        <v>500</v>
      </c>
      <c r="I354">
        <f t="shared" si="10"/>
        <v>500</v>
      </c>
      <c r="J354" s="4">
        <f t="shared" si="11"/>
        <v>7.5</v>
      </c>
      <c r="K354" t="str">
        <f>IF(RetailSales[[#This Row],[Age]]&lt;30,"Young Adult",IF(RetailSales[[#This Row],[Age]]&lt;50,"Adult","Senior"))</f>
        <v>Adult</v>
      </c>
      <c r="L354" t="str">
        <f>_xlfn.CONCAT(I354,"_",RetailSales[[#This Row],[Product Category]])</f>
        <v>500_Electronics</v>
      </c>
    </row>
    <row r="355" spans="1:12">
      <c r="A355">
        <v>354</v>
      </c>
      <c r="B355">
        <v>45031</v>
      </c>
      <c r="C355" t="s">
        <v>382</v>
      </c>
      <c r="D355" t="s">
        <v>17</v>
      </c>
      <c r="E355">
        <v>49</v>
      </c>
      <c r="F355" t="s">
        <v>14</v>
      </c>
      <c r="G355">
        <v>4</v>
      </c>
      <c r="H355">
        <v>50</v>
      </c>
      <c r="I355">
        <f t="shared" si="10"/>
        <v>200</v>
      </c>
      <c r="J355" s="4">
        <f t="shared" si="11"/>
        <v>3</v>
      </c>
      <c r="K355" t="str">
        <f>IF(RetailSales[[#This Row],[Age]]&lt;30,"Young Adult",IF(RetailSales[[#This Row],[Age]]&lt;50,"Adult","Senior"))</f>
        <v>Adult</v>
      </c>
      <c r="L355" t="str">
        <f>_xlfn.CONCAT(I355,"_",RetailSales[[#This Row],[Product Category]])</f>
        <v>200_Beauty</v>
      </c>
    </row>
    <row r="356" spans="1:12">
      <c r="A356">
        <v>355</v>
      </c>
      <c r="B356">
        <v>45269</v>
      </c>
      <c r="C356" t="s">
        <v>383</v>
      </c>
      <c r="D356" t="s">
        <v>17</v>
      </c>
      <c r="E356">
        <v>55</v>
      </c>
      <c r="F356" t="s">
        <v>20</v>
      </c>
      <c r="G356">
        <v>1</v>
      </c>
      <c r="H356">
        <v>500</v>
      </c>
      <c r="I356">
        <f t="shared" si="10"/>
        <v>500</v>
      </c>
      <c r="J356" s="4">
        <f t="shared" si="11"/>
        <v>7.5</v>
      </c>
      <c r="K356" t="str">
        <f>IF(RetailSales[[#This Row],[Age]]&lt;30,"Young Adult",IF(RetailSales[[#This Row],[Age]]&lt;50,"Adult","Senior"))</f>
        <v>Senior</v>
      </c>
      <c r="L356" t="str">
        <f>_xlfn.CONCAT(I356,"_",RetailSales[[#This Row],[Product Category]])</f>
        <v>500_Electronics</v>
      </c>
    </row>
    <row r="357" spans="1:12">
      <c r="A357">
        <v>356</v>
      </c>
      <c r="B357">
        <v>45087</v>
      </c>
      <c r="C357" t="s">
        <v>384</v>
      </c>
      <c r="D357" t="s">
        <v>13</v>
      </c>
      <c r="E357">
        <v>50</v>
      </c>
      <c r="F357" t="s">
        <v>20</v>
      </c>
      <c r="G357">
        <v>3</v>
      </c>
      <c r="H357">
        <v>500</v>
      </c>
      <c r="I357">
        <f t="shared" si="10"/>
        <v>1500</v>
      </c>
      <c r="J357" s="4">
        <f t="shared" si="11"/>
        <v>22.5</v>
      </c>
      <c r="K357" t="str">
        <f>IF(RetailSales[[#This Row],[Age]]&lt;30,"Young Adult",IF(RetailSales[[#This Row],[Age]]&lt;50,"Adult","Senior"))</f>
        <v>Senior</v>
      </c>
      <c r="L357" t="str">
        <f>_xlfn.CONCAT(I357,"_",RetailSales[[#This Row],[Product Category]])</f>
        <v>1500_Electronics</v>
      </c>
    </row>
    <row r="358" spans="1:12">
      <c r="A358">
        <v>357</v>
      </c>
      <c r="B358">
        <v>45049</v>
      </c>
      <c r="C358" t="s">
        <v>385</v>
      </c>
      <c r="D358" t="s">
        <v>17</v>
      </c>
      <c r="E358">
        <v>40</v>
      </c>
      <c r="F358" t="s">
        <v>20</v>
      </c>
      <c r="G358">
        <v>3</v>
      </c>
      <c r="H358">
        <v>25</v>
      </c>
      <c r="I358">
        <f t="shared" si="10"/>
        <v>75</v>
      </c>
      <c r="J358" s="4">
        <f t="shared" si="11"/>
        <v>1.125</v>
      </c>
      <c r="K358" t="str">
        <f>IF(RetailSales[[#This Row],[Age]]&lt;30,"Young Adult",IF(RetailSales[[#This Row],[Age]]&lt;50,"Adult","Senior"))</f>
        <v>Adult</v>
      </c>
      <c r="L358" t="str">
        <f>_xlfn.CONCAT(I358,"_",RetailSales[[#This Row],[Product Category]])</f>
        <v>75_Electronics</v>
      </c>
    </row>
    <row r="359" spans="1:12">
      <c r="A359">
        <v>358</v>
      </c>
      <c r="B359">
        <v>45062</v>
      </c>
      <c r="C359" t="s">
        <v>386</v>
      </c>
      <c r="D359" t="s">
        <v>17</v>
      </c>
      <c r="E359">
        <v>32</v>
      </c>
      <c r="F359" t="s">
        <v>14</v>
      </c>
      <c r="G359">
        <v>1</v>
      </c>
      <c r="H359">
        <v>300</v>
      </c>
      <c r="I359">
        <f t="shared" si="10"/>
        <v>300</v>
      </c>
      <c r="J359" s="4">
        <f t="shared" si="11"/>
        <v>4.5</v>
      </c>
      <c r="K359" t="str">
        <f>IF(RetailSales[[#This Row],[Age]]&lt;30,"Young Adult",IF(RetailSales[[#This Row],[Age]]&lt;50,"Adult","Senior"))</f>
        <v>Adult</v>
      </c>
      <c r="L359" t="str">
        <f>_xlfn.CONCAT(I359,"_",RetailSales[[#This Row],[Product Category]])</f>
        <v>300_Beauty</v>
      </c>
    </row>
    <row r="360" spans="1:12">
      <c r="A360">
        <v>359</v>
      </c>
      <c r="B360">
        <v>45129</v>
      </c>
      <c r="C360" t="s">
        <v>387</v>
      </c>
      <c r="D360" t="s">
        <v>13</v>
      </c>
      <c r="E360">
        <v>50</v>
      </c>
      <c r="F360" t="s">
        <v>18</v>
      </c>
      <c r="G360">
        <v>1</v>
      </c>
      <c r="H360">
        <v>50</v>
      </c>
      <c r="I360">
        <f t="shared" si="10"/>
        <v>50</v>
      </c>
      <c r="J360" s="4">
        <f t="shared" si="11"/>
        <v>0.75</v>
      </c>
      <c r="K360" t="str">
        <f>IF(RetailSales[[#This Row],[Age]]&lt;30,"Young Adult",IF(RetailSales[[#This Row],[Age]]&lt;50,"Adult","Senior"))</f>
        <v>Senior</v>
      </c>
      <c r="L360" t="str">
        <f>_xlfn.CONCAT(I360,"_",RetailSales[[#This Row],[Product Category]])</f>
        <v>50_Clothing</v>
      </c>
    </row>
    <row r="361" spans="1:12">
      <c r="A361">
        <v>360</v>
      </c>
      <c r="B361">
        <v>44994</v>
      </c>
      <c r="C361" t="s">
        <v>388</v>
      </c>
      <c r="D361" t="s">
        <v>13</v>
      </c>
      <c r="E361">
        <v>42</v>
      </c>
      <c r="F361" t="s">
        <v>18</v>
      </c>
      <c r="G361">
        <v>4</v>
      </c>
      <c r="H361">
        <v>25</v>
      </c>
      <c r="I361">
        <f t="shared" si="10"/>
        <v>100</v>
      </c>
      <c r="J361" s="4">
        <f t="shared" si="11"/>
        <v>1.5</v>
      </c>
      <c r="K361" t="str">
        <f>IF(RetailSales[[#This Row],[Age]]&lt;30,"Young Adult",IF(RetailSales[[#This Row],[Age]]&lt;50,"Adult","Senior"))</f>
        <v>Adult</v>
      </c>
      <c r="L361" t="str">
        <f>_xlfn.CONCAT(I361,"_",RetailSales[[#This Row],[Product Category]])</f>
        <v>100_Clothing</v>
      </c>
    </row>
    <row r="362" spans="1:12">
      <c r="A362">
        <v>361</v>
      </c>
      <c r="B362">
        <v>45270</v>
      </c>
      <c r="C362" t="s">
        <v>389</v>
      </c>
      <c r="D362" t="s">
        <v>17</v>
      </c>
      <c r="E362">
        <v>34</v>
      </c>
      <c r="F362" t="s">
        <v>20</v>
      </c>
      <c r="G362">
        <v>4</v>
      </c>
      <c r="H362">
        <v>300</v>
      </c>
      <c r="I362">
        <f t="shared" si="10"/>
        <v>1200</v>
      </c>
      <c r="J362" s="4">
        <f t="shared" si="11"/>
        <v>18</v>
      </c>
      <c r="K362" t="str">
        <f>IF(RetailSales[[#This Row],[Age]]&lt;30,"Young Adult",IF(RetailSales[[#This Row],[Age]]&lt;50,"Adult","Senior"))</f>
        <v>Adult</v>
      </c>
      <c r="L362" t="str">
        <f>_xlfn.CONCAT(I362,"_",RetailSales[[#This Row],[Product Category]])</f>
        <v>1200_Electronics</v>
      </c>
    </row>
    <row r="363" spans="1:12">
      <c r="A363">
        <v>362</v>
      </c>
      <c r="B363">
        <v>45257</v>
      </c>
      <c r="C363" t="s">
        <v>390</v>
      </c>
      <c r="D363" t="s">
        <v>13</v>
      </c>
      <c r="E363">
        <v>50</v>
      </c>
      <c r="F363" t="s">
        <v>18</v>
      </c>
      <c r="G363">
        <v>1</v>
      </c>
      <c r="H363">
        <v>25</v>
      </c>
      <c r="I363">
        <f t="shared" si="10"/>
        <v>25</v>
      </c>
      <c r="J363" s="4">
        <f t="shared" si="11"/>
        <v>0.375</v>
      </c>
      <c r="K363" t="str">
        <f>IF(RetailSales[[#This Row],[Age]]&lt;30,"Young Adult",IF(RetailSales[[#This Row],[Age]]&lt;50,"Adult","Senior"))</f>
        <v>Senior</v>
      </c>
      <c r="L363" t="str">
        <f>_xlfn.CONCAT(I363,"_",RetailSales[[#This Row],[Product Category]])</f>
        <v>25_Clothing</v>
      </c>
    </row>
    <row r="364" spans="1:12">
      <c r="A364">
        <v>363</v>
      </c>
      <c r="B364">
        <v>45080</v>
      </c>
      <c r="C364" t="s">
        <v>391</v>
      </c>
      <c r="D364" t="s">
        <v>13</v>
      </c>
      <c r="E364">
        <v>64</v>
      </c>
      <c r="F364" t="s">
        <v>14</v>
      </c>
      <c r="G364">
        <v>1</v>
      </c>
      <c r="H364">
        <v>25</v>
      </c>
      <c r="I364">
        <f t="shared" si="10"/>
        <v>25</v>
      </c>
      <c r="J364" s="4">
        <f t="shared" si="11"/>
        <v>0.375</v>
      </c>
      <c r="K364" t="str">
        <f>IF(RetailSales[[#This Row],[Age]]&lt;30,"Young Adult",IF(RetailSales[[#This Row],[Age]]&lt;50,"Adult","Senior"))</f>
        <v>Senior</v>
      </c>
      <c r="L364" t="str">
        <f>_xlfn.CONCAT(I364,"_",RetailSales[[#This Row],[Product Category]])</f>
        <v>25_Beauty</v>
      </c>
    </row>
    <row r="365" spans="1:12">
      <c r="A365">
        <v>364</v>
      </c>
      <c r="B365">
        <v>45161</v>
      </c>
      <c r="C365" t="s">
        <v>392</v>
      </c>
      <c r="D365" t="s">
        <v>17</v>
      </c>
      <c r="E365">
        <v>19</v>
      </c>
      <c r="F365" t="s">
        <v>14</v>
      </c>
      <c r="G365">
        <v>1</v>
      </c>
      <c r="H365">
        <v>500</v>
      </c>
      <c r="I365">
        <f t="shared" si="10"/>
        <v>500</v>
      </c>
      <c r="J365" s="4">
        <f t="shared" si="11"/>
        <v>7.5</v>
      </c>
      <c r="K365" t="str">
        <f>IF(RetailSales[[#This Row],[Age]]&lt;30,"Young Adult",IF(RetailSales[[#This Row],[Age]]&lt;50,"Adult","Senior"))</f>
        <v>Young Adult</v>
      </c>
      <c r="L365" t="str">
        <f>_xlfn.CONCAT(I365,"_",RetailSales[[#This Row],[Product Category]])</f>
        <v>500_Beauty</v>
      </c>
    </row>
    <row r="366" spans="1:12">
      <c r="A366">
        <v>365</v>
      </c>
      <c r="B366">
        <v>45088</v>
      </c>
      <c r="C366" t="s">
        <v>393</v>
      </c>
      <c r="D366" t="s">
        <v>13</v>
      </c>
      <c r="E366">
        <v>31</v>
      </c>
      <c r="F366" t="s">
        <v>18</v>
      </c>
      <c r="G366">
        <v>1</v>
      </c>
      <c r="H366">
        <v>300</v>
      </c>
      <c r="I366">
        <f t="shared" si="10"/>
        <v>300</v>
      </c>
      <c r="J366" s="4">
        <f t="shared" si="11"/>
        <v>4.5</v>
      </c>
      <c r="K366" t="str">
        <f>IF(RetailSales[[#This Row],[Age]]&lt;30,"Young Adult",IF(RetailSales[[#This Row],[Age]]&lt;50,"Adult","Senior"))</f>
        <v>Adult</v>
      </c>
      <c r="L366" t="str">
        <f>_xlfn.CONCAT(I366,"_",RetailSales[[#This Row],[Product Category]])</f>
        <v>300_Clothing</v>
      </c>
    </row>
    <row r="367" spans="1:12">
      <c r="A367">
        <v>366</v>
      </c>
      <c r="B367">
        <v>44964</v>
      </c>
      <c r="C367" t="s">
        <v>394</v>
      </c>
      <c r="D367" t="s">
        <v>13</v>
      </c>
      <c r="E367">
        <v>57</v>
      </c>
      <c r="F367" t="s">
        <v>18</v>
      </c>
      <c r="G367">
        <v>2</v>
      </c>
      <c r="H367">
        <v>50</v>
      </c>
      <c r="I367">
        <f t="shared" si="10"/>
        <v>100</v>
      </c>
      <c r="J367" s="4">
        <f t="shared" si="11"/>
        <v>1.5</v>
      </c>
      <c r="K367" t="str">
        <f>IF(RetailSales[[#This Row],[Age]]&lt;30,"Young Adult",IF(RetailSales[[#This Row],[Age]]&lt;50,"Adult","Senior"))</f>
        <v>Senior</v>
      </c>
      <c r="L367" t="str">
        <f>_xlfn.CONCAT(I367,"_",RetailSales[[#This Row],[Product Category]])</f>
        <v>100_Clothing</v>
      </c>
    </row>
    <row r="368" spans="1:12">
      <c r="A368">
        <v>367</v>
      </c>
      <c r="B368">
        <v>44931</v>
      </c>
      <c r="C368" t="s">
        <v>395</v>
      </c>
      <c r="D368" t="s">
        <v>17</v>
      </c>
      <c r="E368">
        <v>57</v>
      </c>
      <c r="F368" t="s">
        <v>20</v>
      </c>
      <c r="G368">
        <v>1</v>
      </c>
      <c r="H368">
        <v>50</v>
      </c>
      <c r="I368">
        <f t="shared" si="10"/>
        <v>50</v>
      </c>
      <c r="J368" s="4">
        <f t="shared" si="11"/>
        <v>0.75</v>
      </c>
      <c r="K368" t="str">
        <f>IF(RetailSales[[#This Row],[Age]]&lt;30,"Young Adult",IF(RetailSales[[#This Row],[Age]]&lt;50,"Adult","Senior"))</f>
        <v>Senior</v>
      </c>
      <c r="L368" t="str">
        <f>_xlfn.CONCAT(I368,"_",RetailSales[[#This Row],[Product Category]])</f>
        <v>50_Electronics</v>
      </c>
    </row>
    <row r="369" spans="1:12">
      <c r="A369">
        <v>368</v>
      </c>
      <c r="B369">
        <v>45161</v>
      </c>
      <c r="C369" t="s">
        <v>396</v>
      </c>
      <c r="D369" t="s">
        <v>17</v>
      </c>
      <c r="E369">
        <v>56</v>
      </c>
      <c r="F369" t="s">
        <v>18</v>
      </c>
      <c r="G369">
        <v>4</v>
      </c>
      <c r="H369">
        <v>300</v>
      </c>
      <c r="I369">
        <f t="shared" si="10"/>
        <v>1200</v>
      </c>
      <c r="J369" s="4">
        <f t="shared" si="11"/>
        <v>18</v>
      </c>
      <c r="K369" t="str">
        <f>IF(RetailSales[[#This Row],[Age]]&lt;30,"Young Adult",IF(RetailSales[[#This Row],[Age]]&lt;50,"Adult","Senior"))</f>
        <v>Senior</v>
      </c>
      <c r="L369" t="str">
        <f>_xlfn.CONCAT(I369,"_",RetailSales[[#This Row],[Product Category]])</f>
        <v>1200_Clothing</v>
      </c>
    </row>
    <row r="370" spans="1:12">
      <c r="A370">
        <v>369</v>
      </c>
      <c r="B370">
        <v>45245</v>
      </c>
      <c r="C370" t="s">
        <v>397</v>
      </c>
      <c r="D370" t="s">
        <v>13</v>
      </c>
      <c r="E370">
        <v>23</v>
      </c>
      <c r="F370" t="s">
        <v>20</v>
      </c>
      <c r="G370">
        <v>3</v>
      </c>
      <c r="H370">
        <v>500</v>
      </c>
      <c r="I370">
        <f t="shared" si="10"/>
        <v>1500</v>
      </c>
      <c r="J370" s="4">
        <f t="shared" si="11"/>
        <v>22.5</v>
      </c>
      <c r="K370" t="str">
        <f>IF(RetailSales[[#This Row],[Age]]&lt;30,"Young Adult",IF(RetailSales[[#This Row],[Age]]&lt;50,"Adult","Senior"))</f>
        <v>Young Adult</v>
      </c>
      <c r="L370" t="str">
        <f>_xlfn.CONCAT(I370,"_",RetailSales[[#This Row],[Product Category]])</f>
        <v>1500_Electronics</v>
      </c>
    </row>
    <row r="371" spans="1:12">
      <c r="A371">
        <v>370</v>
      </c>
      <c r="B371">
        <v>45215</v>
      </c>
      <c r="C371" t="s">
        <v>398</v>
      </c>
      <c r="D371" t="s">
        <v>13</v>
      </c>
      <c r="E371">
        <v>23</v>
      </c>
      <c r="F371" t="s">
        <v>20</v>
      </c>
      <c r="G371">
        <v>2</v>
      </c>
      <c r="H371">
        <v>30</v>
      </c>
      <c r="I371">
        <f t="shared" si="10"/>
        <v>60</v>
      </c>
      <c r="J371" s="4">
        <f t="shared" si="11"/>
        <v>0.89999999999999991</v>
      </c>
      <c r="K371" t="str">
        <f>IF(RetailSales[[#This Row],[Age]]&lt;30,"Young Adult",IF(RetailSales[[#This Row],[Age]]&lt;50,"Adult","Senior"))</f>
        <v>Young Adult</v>
      </c>
      <c r="L371" t="str">
        <f>_xlfn.CONCAT(I371,"_",RetailSales[[#This Row],[Product Category]])</f>
        <v>60_Electronics</v>
      </c>
    </row>
    <row r="372" spans="1:12">
      <c r="A372">
        <v>371</v>
      </c>
      <c r="B372">
        <v>44978</v>
      </c>
      <c r="C372" t="s">
        <v>399</v>
      </c>
      <c r="D372" t="s">
        <v>17</v>
      </c>
      <c r="E372">
        <v>20</v>
      </c>
      <c r="F372" t="s">
        <v>14</v>
      </c>
      <c r="G372">
        <v>1</v>
      </c>
      <c r="H372">
        <v>25</v>
      </c>
      <c r="I372">
        <f t="shared" si="10"/>
        <v>25</v>
      </c>
      <c r="J372" s="4">
        <f t="shared" si="11"/>
        <v>0.375</v>
      </c>
      <c r="K372" t="str">
        <f>IF(RetailSales[[#This Row],[Age]]&lt;30,"Young Adult",IF(RetailSales[[#This Row],[Age]]&lt;50,"Adult","Senior"))</f>
        <v>Young Adult</v>
      </c>
      <c r="L372" t="str">
        <f>_xlfn.CONCAT(I372,"_",RetailSales[[#This Row],[Product Category]])</f>
        <v>25_Beauty</v>
      </c>
    </row>
    <row r="373" spans="1:12">
      <c r="A373">
        <v>372</v>
      </c>
      <c r="B373">
        <v>44964</v>
      </c>
      <c r="C373" t="s">
        <v>400</v>
      </c>
      <c r="D373" t="s">
        <v>17</v>
      </c>
      <c r="E373">
        <v>24</v>
      </c>
      <c r="F373" t="s">
        <v>14</v>
      </c>
      <c r="G373">
        <v>3</v>
      </c>
      <c r="H373">
        <v>500</v>
      </c>
      <c r="I373">
        <f t="shared" si="10"/>
        <v>1500</v>
      </c>
      <c r="J373" s="4">
        <f t="shared" si="11"/>
        <v>22.5</v>
      </c>
      <c r="K373" t="str">
        <f>IF(RetailSales[[#This Row],[Age]]&lt;30,"Young Adult",IF(RetailSales[[#This Row],[Age]]&lt;50,"Adult","Senior"))</f>
        <v>Young Adult</v>
      </c>
      <c r="L373" t="str">
        <f>_xlfn.CONCAT(I373,"_",RetailSales[[#This Row],[Product Category]])</f>
        <v>1500_Beauty</v>
      </c>
    </row>
    <row r="374" spans="1:12">
      <c r="A374">
        <v>373</v>
      </c>
      <c r="B374">
        <v>45202</v>
      </c>
      <c r="C374" t="s">
        <v>401</v>
      </c>
      <c r="D374" t="s">
        <v>17</v>
      </c>
      <c r="E374">
        <v>25</v>
      </c>
      <c r="F374" t="s">
        <v>14</v>
      </c>
      <c r="G374">
        <v>2</v>
      </c>
      <c r="H374">
        <v>300</v>
      </c>
      <c r="I374">
        <f t="shared" si="10"/>
        <v>600</v>
      </c>
      <c r="J374" s="4">
        <f t="shared" si="11"/>
        <v>9</v>
      </c>
      <c r="K374" t="str">
        <f>IF(RetailSales[[#This Row],[Age]]&lt;30,"Young Adult",IF(RetailSales[[#This Row],[Age]]&lt;50,"Adult","Senior"))</f>
        <v>Young Adult</v>
      </c>
      <c r="L374" t="str">
        <f>_xlfn.CONCAT(I374,"_",RetailSales[[#This Row],[Product Category]])</f>
        <v>600_Beauty</v>
      </c>
    </row>
    <row r="375" spans="1:12">
      <c r="A375">
        <v>374</v>
      </c>
      <c r="B375">
        <v>45036</v>
      </c>
      <c r="C375" t="s">
        <v>402</v>
      </c>
      <c r="D375" t="s">
        <v>17</v>
      </c>
      <c r="E375">
        <v>59</v>
      </c>
      <c r="F375" t="s">
        <v>14</v>
      </c>
      <c r="G375">
        <v>3</v>
      </c>
      <c r="H375">
        <v>25</v>
      </c>
      <c r="I375">
        <f t="shared" si="10"/>
        <v>75</v>
      </c>
      <c r="J375" s="4">
        <f t="shared" si="11"/>
        <v>1.125</v>
      </c>
      <c r="K375" t="str">
        <f>IF(RetailSales[[#This Row],[Age]]&lt;30,"Young Adult",IF(RetailSales[[#This Row],[Age]]&lt;50,"Adult","Senior"))</f>
        <v>Senior</v>
      </c>
      <c r="L375" t="str">
        <f>_xlfn.CONCAT(I375,"_",RetailSales[[#This Row],[Product Category]])</f>
        <v>75_Beauty</v>
      </c>
    </row>
    <row r="376" spans="1:12">
      <c r="A376">
        <v>375</v>
      </c>
      <c r="B376">
        <v>45186</v>
      </c>
      <c r="C376" t="s">
        <v>403</v>
      </c>
      <c r="D376" t="s">
        <v>13</v>
      </c>
      <c r="E376">
        <v>32</v>
      </c>
      <c r="F376" t="s">
        <v>18</v>
      </c>
      <c r="G376">
        <v>1</v>
      </c>
      <c r="H376">
        <v>50</v>
      </c>
      <c r="I376">
        <f t="shared" si="10"/>
        <v>50</v>
      </c>
      <c r="J376" s="4">
        <f t="shared" si="11"/>
        <v>0.75</v>
      </c>
      <c r="K376" t="str">
        <f>IF(RetailSales[[#This Row],[Age]]&lt;30,"Young Adult",IF(RetailSales[[#This Row],[Age]]&lt;50,"Adult","Senior"))</f>
        <v>Adult</v>
      </c>
      <c r="L376" t="str">
        <f>_xlfn.CONCAT(I376,"_",RetailSales[[#This Row],[Product Category]])</f>
        <v>50_Clothing</v>
      </c>
    </row>
    <row r="377" spans="1:12">
      <c r="A377">
        <v>376</v>
      </c>
      <c r="B377">
        <v>45062</v>
      </c>
      <c r="C377" t="s">
        <v>404</v>
      </c>
      <c r="D377" t="s">
        <v>17</v>
      </c>
      <c r="E377">
        <v>64</v>
      </c>
      <c r="F377" t="s">
        <v>14</v>
      </c>
      <c r="G377">
        <v>1</v>
      </c>
      <c r="H377">
        <v>30</v>
      </c>
      <c r="I377">
        <f t="shared" si="10"/>
        <v>30</v>
      </c>
      <c r="J377" s="4">
        <f t="shared" si="11"/>
        <v>0.44999999999999996</v>
      </c>
      <c r="K377" t="str">
        <f>IF(RetailSales[[#This Row],[Age]]&lt;30,"Young Adult",IF(RetailSales[[#This Row],[Age]]&lt;50,"Adult","Senior"))</f>
        <v>Senior</v>
      </c>
      <c r="L377" t="str">
        <f>_xlfn.CONCAT(I377,"_",RetailSales[[#This Row],[Product Category]])</f>
        <v>30_Beauty</v>
      </c>
    </row>
    <row r="378" spans="1:12">
      <c r="A378">
        <v>377</v>
      </c>
      <c r="B378">
        <v>44994</v>
      </c>
      <c r="C378" t="s">
        <v>405</v>
      </c>
      <c r="D378" t="s">
        <v>17</v>
      </c>
      <c r="E378">
        <v>46</v>
      </c>
      <c r="F378" t="s">
        <v>18</v>
      </c>
      <c r="G378">
        <v>4</v>
      </c>
      <c r="H378">
        <v>50</v>
      </c>
      <c r="I378">
        <f t="shared" si="10"/>
        <v>200</v>
      </c>
      <c r="J378" s="4">
        <f t="shared" si="11"/>
        <v>3</v>
      </c>
      <c r="K378" t="str">
        <f>IF(RetailSales[[#This Row],[Age]]&lt;30,"Young Adult",IF(RetailSales[[#This Row],[Age]]&lt;50,"Adult","Senior"))</f>
        <v>Adult</v>
      </c>
      <c r="L378" t="str">
        <f>_xlfn.CONCAT(I378,"_",RetailSales[[#This Row],[Product Category]])</f>
        <v>200_Clothing</v>
      </c>
    </row>
    <row r="379" spans="1:12">
      <c r="A379">
        <v>378</v>
      </c>
      <c r="B379">
        <v>45105</v>
      </c>
      <c r="C379" t="s">
        <v>406</v>
      </c>
      <c r="D379" t="s">
        <v>13</v>
      </c>
      <c r="E379">
        <v>50</v>
      </c>
      <c r="F379" t="s">
        <v>14</v>
      </c>
      <c r="G379">
        <v>1</v>
      </c>
      <c r="H379">
        <v>300</v>
      </c>
      <c r="I379">
        <f t="shared" si="10"/>
        <v>300</v>
      </c>
      <c r="J379" s="4">
        <f t="shared" si="11"/>
        <v>4.5</v>
      </c>
      <c r="K379" t="str">
        <f>IF(RetailSales[[#This Row],[Age]]&lt;30,"Young Adult",IF(RetailSales[[#This Row],[Age]]&lt;50,"Adult","Senior"))</f>
        <v>Senior</v>
      </c>
      <c r="L379" t="str">
        <f>_xlfn.CONCAT(I379,"_",RetailSales[[#This Row],[Product Category]])</f>
        <v>300_Beauty</v>
      </c>
    </row>
    <row r="380" spans="1:12">
      <c r="A380">
        <v>379</v>
      </c>
      <c r="B380">
        <v>44962</v>
      </c>
      <c r="C380" t="s">
        <v>407</v>
      </c>
      <c r="D380" t="s">
        <v>17</v>
      </c>
      <c r="E380">
        <v>47</v>
      </c>
      <c r="F380" t="s">
        <v>18</v>
      </c>
      <c r="G380">
        <v>1</v>
      </c>
      <c r="H380">
        <v>25</v>
      </c>
      <c r="I380">
        <f t="shared" si="10"/>
        <v>25</v>
      </c>
      <c r="J380" s="4">
        <f t="shared" si="11"/>
        <v>0.375</v>
      </c>
      <c r="K380" t="str">
        <f>IF(RetailSales[[#This Row],[Age]]&lt;30,"Young Adult",IF(RetailSales[[#This Row],[Age]]&lt;50,"Adult","Senior"))</f>
        <v>Adult</v>
      </c>
      <c r="L380" t="str">
        <f>_xlfn.CONCAT(I380,"_",RetailSales[[#This Row],[Product Category]])</f>
        <v>25_Clothing</v>
      </c>
    </row>
    <row r="381" spans="1:12">
      <c r="A381">
        <v>380</v>
      </c>
      <c r="B381">
        <v>45052</v>
      </c>
      <c r="C381" t="s">
        <v>408</v>
      </c>
      <c r="D381" t="s">
        <v>13</v>
      </c>
      <c r="E381">
        <v>56</v>
      </c>
      <c r="F381" t="s">
        <v>20</v>
      </c>
      <c r="G381">
        <v>2</v>
      </c>
      <c r="H381">
        <v>300</v>
      </c>
      <c r="I381">
        <f t="shared" si="10"/>
        <v>600</v>
      </c>
      <c r="J381" s="4">
        <f t="shared" si="11"/>
        <v>9</v>
      </c>
      <c r="K381" t="str">
        <f>IF(RetailSales[[#This Row],[Age]]&lt;30,"Young Adult",IF(RetailSales[[#This Row],[Age]]&lt;50,"Adult","Senior"))</f>
        <v>Senior</v>
      </c>
      <c r="L381" t="str">
        <f>_xlfn.CONCAT(I381,"_",RetailSales[[#This Row],[Product Category]])</f>
        <v>600_Electronics</v>
      </c>
    </row>
    <row r="382" spans="1:12">
      <c r="A382">
        <v>381</v>
      </c>
      <c r="B382">
        <v>45116</v>
      </c>
      <c r="C382" t="s">
        <v>409</v>
      </c>
      <c r="D382" t="s">
        <v>17</v>
      </c>
      <c r="E382">
        <v>44</v>
      </c>
      <c r="F382" t="s">
        <v>18</v>
      </c>
      <c r="G382">
        <v>4</v>
      </c>
      <c r="H382">
        <v>25</v>
      </c>
      <c r="I382">
        <f t="shared" si="10"/>
        <v>100</v>
      </c>
      <c r="J382" s="4">
        <f t="shared" si="11"/>
        <v>1.5</v>
      </c>
      <c r="K382" t="str">
        <f>IF(RetailSales[[#This Row],[Age]]&lt;30,"Young Adult",IF(RetailSales[[#This Row],[Age]]&lt;50,"Adult","Senior"))</f>
        <v>Adult</v>
      </c>
      <c r="L382" t="str">
        <f>_xlfn.CONCAT(I382,"_",RetailSales[[#This Row],[Product Category]])</f>
        <v>100_Clothing</v>
      </c>
    </row>
    <row r="383" spans="1:12">
      <c r="A383">
        <v>382</v>
      </c>
      <c r="B383">
        <v>45072</v>
      </c>
      <c r="C383" t="s">
        <v>410</v>
      </c>
      <c r="D383" t="s">
        <v>17</v>
      </c>
      <c r="E383">
        <v>53</v>
      </c>
      <c r="F383" t="s">
        <v>18</v>
      </c>
      <c r="G383">
        <v>2</v>
      </c>
      <c r="H383">
        <v>500</v>
      </c>
      <c r="I383">
        <f t="shared" si="10"/>
        <v>1000</v>
      </c>
      <c r="J383" s="4">
        <f t="shared" si="11"/>
        <v>15</v>
      </c>
      <c r="K383" t="str">
        <f>IF(RetailSales[[#This Row],[Age]]&lt;30,"Young Adult",IF(RetailSales[[#This Row],[Age]]&lt;50,"Adult","Senior"))</f>
        <v>Senior</v>
      </c>
      <c r="L383" t="str">
        <f>_xlfn.CONCAT(I383,"_",RetailSales[[#This Row],[Product Category]])</f>
        <v>1000_Clothing</v>
      </c>
    </row>
    <row r="384" spans="1:12">
      <c r="A384">
        <v>383</v>
      </c>
      <c r="B384">
        <v>45007</v>
      </c>
      <c r="C384" t="s">
        <v>411</v>
      </c>
      <c r="D384" t="s">
        <v>17</v>
      </c>
      <c r="E384">
        <v>46</v>
      </c>
      <c r="F384" t="s">
        <v>14</v>
      </c>
      <c r="G384">
        <v>3</v>
      </c>
      <c r="H384">
        <v>30</v>
      </c>
      <c r="I384">
        <f t="shared" si="10"/>
        <v>90</v>
      </c>
      <c r="J384" s="4">
        <f t="shared" si="11"/>
        <v>1.3499999999999999</v>
      </c>
      <c r="K384" t="str">
        <f>IF(RetailSales[[#This Row],[Age]]&lt;30,"Young Adult",IF(RetailSales[[#This Row],[Age]]&lt;50,"Adult","Senior"))</f>
        <v>Adult</v>
      </c>
      <c r="L384" t="str">
        <f>_xlfn.CONCAT(I384,"_",RetailSales[[#This Row],[Product Category]])</f>
        <v>90_Beauty</v>
      </c>
    </row>
    <row r="385" spans="1:12">
      <c r="A385">
        <v>384</v>
      </c>
      <c r="B385">
        <v>45151</v>
      </c>
      <c r="C385" t="s">
        <v>412</v>
      </c>
      <c r="D385" t="s">
        <v>13</v>
      </c>
      <c r="E385">
        <v>55</v>
      </c>
      <c r="F385" t="s">
        <v>18</v>
      </c>
      <c r="G385">
        <v>1</v>
      </c>
      <c r="H385">
        <v>500</v>
      </c>
      <c r="I385">
        <f t="shared" si="10"/>
        <v>500</v>
      </c>
      <c r="J385" s="4">
        <f t="shared" si="11"/>
        <v>7.5</v>
      </c>
      <c r="K385" t="str">
        <f>IF(RetailSales[[#This Row],[Age]]&lt;30,"Young Adult",IF(RetailSales[[#This Row],[Age]]&lt;50,"Adult","Senior"))</f>
        <v>Senior</v>
      </c>
      <c r="L385" t="str">
        <f>_xlfn.CONCAT(I385,"_",RetailSales[[#This Row],[Product Category]])</f>
        <v>500_Clothing</v>
      </c>
    </row>
    <row r="386" spans="1:12">
      <c r="A386">
        <v>385</v>
      </c>
      <c r="B386">
        <v>45205</v>
      </c>
      <c r="C386" t="s">
        <v>413</v>
      </c>
      <c r="D386" t="s">
        <v>13</v>
      </c>
      <c r="E386">
        <v>50</v>
      </c>
      <c r="F386" t="s">
        <v>20</v>
      </c>
      <c r="G386">
        <v>3</v>
      </c>
      <c r="H386">
        <v>500</v>
      </c>
      <c r="I386">
        <f t="shared" si="10"/>
        <v>1500</v>
      </c>
      <c r="J386" s="4">
        <f t="shared" si="11"/>
        <v>22.5</v>
      </c>
      <c r="K386" t="str">
        <f>IF(RetailSales[[#This Row],[Age]]&lt;30,"Young Adult",IF(RetailSales[[#This Row],[Age]]&lt;50,"Adult","Senior"))</f>
        <v>Senior</v>
      </c>
      <c r="L386" t="str">
        <f>_xlfn.CONCAT(I386,"_",RetailSales[[#This Row],[Product Category]])</f>
        <v>1500_Electronics</v>
      </c>
    </row>
    <row r="387" spans="1:12">
      <c r="A387">
        <v>386</v>
      </c>
      <c r="B387">
        <v>45287</v>
      </c>
      <c r="C387" t="s">
        <v>414</v>
      </c>
      <c r="D387" t="s">
        <v>17</v>
      </c>
      <c r="E387">
        <v>54</v>
      </c>
      <c r="F387" t="s">
        <v>20</v>
      </c>
      <c r="G387">
        <v>2</v>
      </c>
      <c r="H387">
        <v>300</v>
      </c>
      <c r="I387">
        <f t="shared" ref="I387:I450" si="12">G387*H387</f>
        <v>600</v>
      </c>
      <c r="J387" s="4">
        <f t="shared" ref="J387:J450" si="13">I387*$O$3</f>
        <v>9</v>
      </c>
      <c r="K387" t="str">
        <f>IF(RetailSales[[#This Row],[Age]]&lt;30,"Young Adult",IF(RetailSales[[#This Row],[Age]]&lt;50,"Adult","Senior"))</f>
        <v>Senior</v>
      </c>
      <c r="L387" t="str">
        <f>_xlfn.CONCAT(I387,"_",RetailSales[[#This Row],[Product Category]])</f>
        <v>600_Electronics</v>
      </c>
    </row>
    <row r="388" spans="1:12">
      <c r="A388">
        <v>387</v>
      </c>
      <c r="B388">
        <v>45081</v>
      </c>
      <c r="C388" t="s">
        <v>415</v>
      </c>
      <c r="D388" t="s">
        <v>13</v>
      </c>
      <c r="E388">
        <v>44</v>
      </c>
      <c r="F388" t="s">
        <v>14</v>
      </c>
      <c r="G388">
        <v>1</v>
      </c>
      <c r="H388">
        <v>30</v>
      </c>
      <c r="I388">
        <f t="shared" si="12"/>
        <v>30</v>
      </c>
      <c r="J388" s="4">
        <f t="shared" si="13"/>
        <v>0.44999999999999996</v>
      </c>
      <c r="K388" t="str">
        <f>IF(RetailSales[[#This Row],[Age]]&lt;30,"Young Adult",IF(RetailSales[[#This Row],[Age]]&lt;50,"Adult","Senior"))</f>
        <v>Adult</v>
      </c>
      <c r="L388" t="str">
        <f>_xlfn.CONCAT(I388,"_",RetailSales[[#This Row],[Product Category]])</f>
        <v>30_Beauty</v>
      </c>
    </row>
    <row r="389" spans="1:12">
      <c r="A389">
        <v>388</v>
      </c>
      <c r="B389">
        <v>45240</v>
      </c>
      <c r="C389" t="s">
        <v>416</v>
      </c>
      <c r="D389" t="s">
        <v>13</v>
      </c>
      <c r="E389">
        <v>50</v>
      </c>
      <c r="F389" t="s">
        <v>20</v>
      </c>
      <c r="G389">
        <v>1</v>
      </c>
      <c r="H389">
        <v>25</v>
      </c>
      <c r="I389">
        <f t="shared" si="12"/>
        <v>25</v>
      </c>
      <c r="J389" s="4">
        <f t="shared" si="13"/>
        <v>0.375</v>
      </c>
      <c r="K389" t="str">
        <f>IF(RetailSales[[#This Row],[Age]]&lt;30,"Young Adult",IF(RetailSales[[#This Row],[Age]]&lt;50,"Adult","Senior"))</f>
        <v>Senior</v>
      </c>
      <c r="L389" t="str">
        <f>_xlfn.CONCAT(I389,"_",RetailSales[[#This Row],[Product Category]])</f>
        <v>25_Electronics</v>
      </c>
    </row>
    <row r="390" spans="1:12">
      <c r="A390">
        <v>389</v>
      </c>
      <c r="B390">
        <v>45261</v>
      </c>
      <c r="C390" t="s">
        <v>417</v>
      </c>
      <c r="D390" t="s">
        <v>13</v>
      </c>
      <c r="E390">
        <v>21</v>
      </c>
      <c r="F390" t="s">
        <v>18</v>
      </c>
      <c r="G390">
        <v>2</v>
      </c>
      <c r="H390">
        <v>25</v>
      </c>
      <c r="I390">
        <f t="shared" si="12"/>
        <v>50</v>
      </c>
      <c r="J390" s="4">
        <f t="shared" si="13"/>
        <v>0.75</v>
      </c>
      <c r="K390" t="str">
        <f>IF(RetailSales[[#This Row],[Age]]&lt;30,"Young Adult",IF(RetailSales[[#This Row],[Age]]&lt;50,"Adult","Senior"))</f>
        <v>Young Adult</v>
      </c>
      <c r="L390" t="str">
        <f>_xlfn.CONCAT(I390,"_",RetailSales[[#This Row],[Product Category]])</f>
        <v>50_Clothing</v>
      </c>
    </row>
    <row r="391" spans="1:12">
      <c r="A391">
        <v>390</v>
      </c>
      <c r="B391">
        <v>45197</v>
      </c>
      <c r="C391" t="s">
        <v>418</v>
      </c>
      <c r="D391" t="s">
        <v>13</v>
      </c>
      <c r="E391">
        <v>39</v>
      </c>
      <c r="F391" t="s">
        <v>20</v>
      </c>
      <c r="G391">
        <v>2</v>
      </c>
      <c r="H391">
        <v>50</v>
      </c>
      <c r="I391">
        <f t="shared" si="12"/>
        <v>100</v>
      </c>
      <c r="J391" s="4">
        <f t="shared" si="13"/>
        <v>1.5</v>
      </c>
      <c r="K391" t="str">
        <f>IF(RetailSales[[#This Row],[Age]]&lt;30,"Young Adult",IF(RetailSales[[#This Row],[Age]]&lt;50,"Adult","Senior"))</f>
        <v>Adult</v>
      </c>
      <c r="L391" t="str">
        <f>_xlfn.CONCAT(I391,"_",RetailSales[[#This Row],[Product Category]])</f>
        <v>100_Electronics</v>
      </c>
    </row>
    <row r="392" spans="1:12">
      <c r="A392">
        <v>391</v>
      </c>
      <c r="B392">
        <v>44931</v>
      </c>
      <c r="C392" t="s">
        <v>419</v>
      </c>
      <c r="D392" t="s">
        <v>13</v>
      </c>
      <c r="E392">
        <v>19</v>
      </c>
      <c r="F392" t="s">
        <v>14</v>
      </c>
      <c r="G392">
        <v>2</v>
      </c>
      <c r="H392">
        <v>25</v>
      </c>
      <c r="I392">
        <f t="shared" si="12"/>
        <v>50</v>
      </c>
      <c r="J392" s="4">
        <f t="shared" si="13"/>
        <v>0.75</v>
      </c>
      <c r="K392" t="str">
        <f>IF(RetailSales[[#This Row],[Age]]&lt;30,"Young Adult",IF(RetailSales[[#This Row],[Age]]&lt;50,"Adult","Senior"))</f>
        <v>Young Adult</v>
      </c>
      <c r="L392" t="str">
        <f>_xlfn.CONCAT(I392,"_",RetailSales[[#This Row],[Product Category]])</f>
        <v>50_Beauty</v>
      </c>
    </row>
    <row r="393" spans="1:12">
      <c r="A393">
        <v>392</v>
      </c>
      <c r="B393">
        <v>45268</v>
      </c>
      <c r="C393" t="s">
        <v>420</v>
      </c>
      <c r="D393" t="s">
        <v>13</v>
      </c>
      <c r="E393">
        <v>27</v>
      </c>
      <c r="F393" t="s">
        <v>18</v>
      </c>
      <c r="G393">
        <v>2</v>
      </c>
      <c r="H393">
        <v>300</v>
      </c>
      <c r="I393">
        <f t="shared" si="12"/>
        <v>600</v>
      </c>
      <c r="J393" s="4">
        <f t="shared" si="13"/>
        <v>9</v>
      </c>
      <c r="K393" t="str">
        <f>IF(RetailSales[[#This Row],[Age]]&lt;30,"Young Adult",IF(RetailSales[[#This Row],[Age]]&lt;50,"Adult","Senior"))</f>
        <v>Young Adult</v>
      </c>
      <c r="L393" t="str">
        <f>_xlfn.CONCAT(I393,"_",RetailSales[[#This Row],[Product Category]])</f>
        <v>600_Clothing</v>
      </c>
    </row>
    <row r="394" spans="1:12">
      <c r="A394">
        <v>393</v>
      </c>
      <c r="B394">
        <v>45210</v>
      </c>
      <c r="C394" t="s">
        <v>421</v>
      </c>
      <c r="D394" t="s">
        <v>17</v>
      </c>
      <c r="E394">
        <v>22</v>
      </c>
      <c r="F394" t="s">
        <v>14</v>
      </c>
      <c r="G394">
        <v>2</v>
      </c>
      <c r="H394">
        <v>500</v>
      </c>
      <c r="I394">
        <f t="shared" si="12"/>
        <v>1000</v>
      </c>
      <c r="J394" s="4">
        <f t="shared" si="13"/>
        <v>15</v>
      </c>
      <c r="K394" t="str">
        <f>IF(RetailSales[[#This Row],[Age]]&lt;30,"Young Adult",IF(RetailSales[[#This Row],[Age]]&lt;50,"Adult","Senior"))</f>
        <v>Young Adult</v>
      </c>
      <c r="L394" t="str">
        <f>_xlfn.CONCAT(I394,"_",RetailSales[[#This Row],[Product Category]])</f>
        <v>1000_Beauty</v>
      </c>
    </row>
    <row r="395" spans="1:12">
      <c r="A395">
        <v>394</v>
      </c>
      <c r="B395">
        <v>45080</v>
      </c>
      <c r="C395" t="s">
        <v>422</v>
      </c>
      <c r="D395" t="s">
        <v>17</v>
      </c>
      <c r="E395">
        <v>27</v>
      </c>
      <c r="F395" t="s">
        <v>18</v>
      </c>
      <c r="G395">
        <v>1</v>
      </c>
      <c r="H395">
        <v>500</v>
      </c>
      <c r="I395">
        <f t="shared" si="12"/>
        <v>500</v>
      </c>
      <c r="J395" s="4">
        <f t="shared" si="13"/>
        <v>7.5</v>
      </c>
      <c r="K395" t="str">
        <f>IF(RetailSales[[#This Row],[Age]]&lt;30,"Young Adult",IF(RetailSales[[#This Row],[Age]]&lt;50,"Adult","Senior"))</f>
        <v>Young Adult</v>
      </c>
      <c r="L395" t="str">
        <f>_xlfn.CONCAT(I395,"_",RetailSales[[#This Row],[Product Category]])</f>
        <v>500_Clothing</v>
      </c>
    </row>
    <row r="396" spans="1:12">
      <c r="A396">
        <v>395</v>
      </c>
      <c r="B396">
        <v>45266</v>
      </c>
      <c r="C396" t="s">
        <v>423</v>
      </c>
      <c r="D396" t="s">
        <v>13</v>
      </c>
      <c r="E396">
        <v>50</v>
      </c>
      <c r="F396" t="s">
        <v>20</v>
      </c>
      <c r="G396">
        <v>2</v>
      </c>
      <c r="H396">
        <v>500</v>
      </c>
      <c r="I396">
        <f t="shared" si="12"/>
        <v>1000</v>
      </c>
      <c r="J396" s="4">
        <f t="shared" si="13"/>
        <v>15</v>
      </c>
      <c r="K396" t="str">
        <f>IF(RetailSales[[#This Row],[Age]]&lt;30,"Young Adult",IF(RetailSales[[#This Row],[Age]]&lt;50,"Adult","Senior"))</f>
        <v>Senior</v>
      </c>
      <c r="L396" t="str">
        <f>_xlfn.CONCAT(I396,"_",RetailSales[[#This Row],[Product Category]])</f>
        <v>1000_Electronics</v>
      </c>
    </row>
    <row r="397" spans="1:12">
      <c r="A397">
        <v>396</v>
      </c>
      <c r="B397">
        <v>44980</v>
      </c>
      <c r="C397" t="s">
        <v>424</v>
      </c>
      <c r="D397" t="s">
        <v>17</v>
      </c>
      <c r="E397">
        <v>55</v>
      </c>
      <c r="F397" t="s">
        <v>14</v>
      </c>
      <c r="G397">
        <v>1</v>
      </c>
      <c r="H397">
        <v>30</v>
      </c>
      <c r="I397">
        <f t="shared" si="12"/>
        <v>30</v>
      </c>
      <c r="J397" s="4">
        <f t="shared" si="13"/>
        <v>0.44999999999999996</v>
      </c>
      <c r="K397" t="str">
        <f>IF(RetailSales[[#This Row],[Age]]&lt;30,"Young Adult",IF(RetailSales[[#This Row],[Age]]&lt;50,"Adult","Senior"))</f>
        <v>Senior</v>
      </c>
      <c r="L397" t="str">
        <f>_xlfn.CONCAT(I397,"_",RetailSales[[#This Row],[Product Category]])</f>
        <v>30_Beauty</v>
      </c>
    </row>
    <row r="398" spans="1:12">
      <c r="A398">
        <v>397</v>
      </c>
      <c r="B398">
        <v>44995</v>
      </c>
      <c r="C398" t="s">
        <v>425</v>
      </c>
      <c r="D398" t="s">
        <v>17</v>
      </c>
      <c r="E398">
        <v>30</v>
      </c>
      <c r="F398" t="s">
        <v>14</v>
      </c>
      <c r="G398">
        <v>1</v>
      </c>
      <c r="H398">
        <v>25</v>
      </c>
      <c r="I398">
        <f t="shared" si="12"/>
        <v>25</v>
      </c>
      <c r="J398" s="4">
        <f t="shared" si="13"/>
        <v>0.375</v>
      </c>
      <c r="K398" t="str">
        <f>IF(RetailSales[[#This Row],[Age]]&lt;30,"Young Adult",IF(RetailSales[[#This Row],[Age]]&lt;50,"Adult","Senior"))</f>
        <v>Adult</v>
      </c>
      <c r="L398" t="str">
        <f>_xlfn.CONCAT(I398,"_",RetailSales[[#This Row],[Product Category]])</f>
        <v>25_Beauty</v>
      </c>
    </row>
    <row r="399" spans="1:12">
      <c r="A399">
        <v>398</v>
      </c>
      <c r="B399">
        <v>45062</v>
      </c>
      <c r="C399" t="s">
        <v>426</v>
      </c>
      <c r="D399" t="s">
        <v>17</v>
      </c>
      <c r="E399">
        <v>48</v>
      </c>
      <c r="F399" t="s">
        <v>18</v>
      </c>
      <c r="G399">
        <v>2</v>
      </c>
      <c r="H399">
        <v>300</v>
      </c>
      <c r="I399">
        <f t="shared" si="12"/>
        <v>600</v>
      </c>
      <c r="J399" s="4">
        <f t="shared" si="13"/>
        <v>9</v>
      </c>
      <c r="K399" t="str">
        <f>IF(RetailSales[[#This Row],[Age]]&lt;30,"Young Adult",IF(RetailSales[[#This Row],[Age]]&lt;50,"Adult","Senior"))</f>
        <v>Adult</v>
      </c>
      <c r="L399" t="str">
        <f>_xlfn.CONCAT(I399,"_",RetailSales[[#This Row],[Product Category]])</f>
        <v>600_Clothing</v>
      </c>
    </row>
    <row r="400" spans="1:12">
      <c r="A400">
        <v>399</v>
      </c>
      <c r="B400">
        <v>44986</v>
      </c>
      <c r="C400" t="s">
        <v>427</v>
      </c>
      <c r="D400" t="s">
        <v>17</v>
      </c>
      <c r="E400">
        <v>64</v>
      </c>
      <c r="F400" t="s">
        <v>14</v>
      </c>
      <c r="G400">
        <v>2</v>
      </c>
      <c r="H400">
        <v>30</v>
      </c>
      <c r="I400">
        <f t="shared" si="12"/>
        <v>60</v>
      </c>
      <c r="J400" s="4">
        <f t="shared" si="13"/>
        <v>0.89999999999999991</v>
      </c>
      <c r="K400" t="str">
        <f>IF(RetailSales[[#This Row],[Age]]&lt;30,"Young Adult",IF(RetailSales[[#This Row],[Age]]&lt;50,"Adult","Senior"))</f>
        <v>Senior</v>
      </c>
      <c r="L400" t="str">
        <f>_xlfn.CONCAT(I400,"_",RetailSales[[#This Row],[Product Category]])</f>
        <v>60_Beauty</v>
      </c>
    </row>
    <row r="401" spans="1:12">
      <c r="A401">
        <v>400</v>
      </c>
      <c r="B401">
        <v>44981</v>
      </c>
      <c r="C401" t="s">
        <v>428</v>
      </c>
      <c r="D401" t="s">
        <v>13</v>
      </c>
      <c r="E401">
        <v>53</v>
      </c>
      <c r="F401" t="s">
        <v>18</v>
      </c>
      <c r="G401">
        <v>4</v>
      </c>
      <c r="H401">
        <v>50</v>
      </c>
      <c r="I401">
        <f t="shared" si="12"/>
        <v>200</v>
      </c>
      <c r="J401" s="4">
        <f t="shared" si="13"/>
        <v>3</v>
      </c>
      <c r="K401" t="str">
        <f>IF(RetailSales[[#This Row],[Age]]&lt;30,"Young Adult",IF(RetailSales[[#This Row],[Age]]&lt;50,"Adult","Senior"))</f>
        <v>Senior</v>
      </c>
      <c r="L401" t="str">
        <f>_xlfn.CONCAT(I401,"_",RetailSales[[#This Row],[Product Category]])</f>
        <v>200_Clothing</v>
      </c>
    </row>
    <row r="402" spans="1:12">
      <c r="A402">
        <v>401</v>
      </c>
      <c r="B402">
        <v>45210</v>
      </c>
      <c r="C402" t="s">
        <v>429</v>
      </c>
      <c r="D402" t="s">
        <v>17</v>
      </c>
      <c r="E402">
        <v>62</v>
      </c>
      <c r="F402" t="s">
        <v>18</v>
      </c>
      <c r="G402">
        <v>1</v>
      </c>
      <c r="H402">
        <v>300</v>
      </c>
      <c r="I402">
        <f t="shared" si="12"/>
        <v>300</v>
      </c>
      <c r="J402" s="4">
        <f t="shared" si="13"/>
        <v>4.5</v>
      </c>
      <c r="K402" t="str">
        <f>IF(RetailSales[[#This Row],[Age]]&lt;30,"Young Adult",IF(RetailSales[[#This Row],[Age]]&lt;50,"Adult","Senior"))</f>
        <v>Senior</v>
      </c>
      <c r="L402" t="str">
        <f>_xlfn.CONCAT(I402,"_",RetailSales[[#This Row],[Product Category]])</f>
        <v>300_Clothing</v>
      </c>
    </row>
    <row r="403" spans="1:12">
      <c r="A403">
        <v>402</v>
      </c>
      <c r="B403">
        <v>45006</v>
      </c>
      <c r="C403" t="s">
        <v>430</v>
      </c>
      <c r="D403" t="s">
        <v>17</v>
      </c>
      <c r="E403">
        <v>41</v>
      </c>
      <c r="F403" t="s">
        <v>18</v>
      </c>
      <c r="G403">
        <v>2</v>
      </c>
      <c r="H403">
        <v>300</v>
      </c>
      <c r="I403">
        <f t="shared" si="12"/>
        <v>600</v>
      </c>
      <c r="J403" s="4">
        <f t="shared" si="13"/>
        <v>9</v>
      </c>
      <c r="K403" t="str">
        <f>IF(RetailSales[[#This Row],[Age]]&lt;30,"Young Adult",IF(RetailSales[[#This Row],[Age]]&lt;50,"Adult","Senior"))</f>
        <v>Adult</v>
      </c>
      <c r="L403" t="str">
        <f>_xlfn.CONCAT(I403,"_",RetailSales[[#This Row],[Product Category]])</f>
        <v>600_Clothing</v>
      </c>
    </row>
    <row r="404" spans="1:12">
      <c r="A404">
        <v>403</v>
      </c>
      <c r="B404">
        <v>45066</v>
      </c>
      <c r="C404" t="s">
        <v>431</v>
      </c>
      <c r="D404" t="s">
        <v>13</v>
      </c>
      <c r="E404">
        <v>32</v>
      </c>
      <c r="F404" t="s">
        <v>18</v>
      </c>
      <c r="G404">
        <v>2</v>
      </c>
      <c r="H404">
        <v>300</v>
      </c>
      <c r="I404">
        <f t="shared" si="12"/>
        <v>600</v>
      </c>
      <c r="J404" s="4">
        <f t="shared" si="13"/>
        <v>9</v>
      </c>
      <c r="K404" t="str">
        <f>IF(RetailSales[[#This Row],[Age]]&lt;30,"Young Adult",IF(RetailSales[[#This Row],[Age]]&lt;50,"Adult","Senior"))</f>
        <v>Adult</v>
      </c>
      <c r="L404" t="str">
        <f>_xlfn.CONCAT(I404,"_",RetailSales[[#This Row],[Product Category]])</f>
        <v>600_Clothing</v>
      </c>
    </row>
    <row r="405" spans="1:12">
      <c r="A405">
        <v>404</v>
      </c>
      <c r="B405">
        <v>45071</v>
      </c>
      <c r="C405" t="s">
        <v>432</v>
      </c>
      <c r="D405" t="s">
        <v>13</v>
      </c>
      <c r="E405">
        <v>46</v>
      </c>
      <c r="F405" t="s">
        <v>20</v>
      </c>
      <c r="G405">
        <v>2</v>
      </c>
      <c r="H405">
        <v>500</v>
      </c>
      <c r="I405">
        <f t="shared" si="12"/>
        <v>1000</v>
      </c>
      <c r="J405" s="4">
        <f t="shared" si="13"/>
        <v>15</v>
      </c>
      <c r="K405" t="str">
        <f>IF(RetailSales[[#This Row],[Age]]&lt;30,"Young Adult",IF(RetailSales[[#This Row],[Age]]&lt;50,"Adult","Senior"))</f>
        <v>Adult</v>
      </c>
      <c r="L405" t="str">
        <f>_xlfn.CONCAT(I405,"_",RetailSales[[#This Row],[Product Category]])</f>
        <v>1000_Electronics</v>
      </c>
    </row>
    <row r="406" spans="1:12">
      <c r="A406">
        <v>405</v>
      </c>
      <c r="B406">
        <v>45236</v>
      </c>
      <c r="C406" t="s">
        <v>433</v>
      </c>
      <c r="D406" t="s">
        <v>17</v>
      </c>
      <c r="E406">
        <v>25</v>
      </c>
      <c r="F406" t="s">
        <v>18</v>
      </c>
      <c r="G406">
        <v>4</v>
      </c>
      <c r="H406">
        <v>300</v>
      </c>
      <c r="I406">
        <f t="shared" si="12"/>
        <v>1200</v>
      </c>
      <c r="J406" s="4">
        <f t="shared" si="13"/>
        <v>18</v>
      </c>
      <c r="K406" t="str">
        <f>IF(RetailSales[[#This Row],[Age]]&lt;30,"Young Adult",IF(RetailSales[[#This Row],[Age]]&lt;50,"Adult","Senior"))</f>
        <v>Young Adult</v>
      </c>
      <c r="L406" t="str">
        <f>_xlfn.CONCAT(I406,"_",RetailSales[[#This Row],[Product Category]])</f>
        <v>1200_Clothing</v>
      </c>
    </row>
    <row r="407" spans="1:12">
      <c r="A407">
        <v>406</v>
      </c>
      <c r="B407">
        <v>45034</v>
      </c>
      <c r="C407" t="s">
        <v>434</v>
      </c>
      <c r="D407" t="s">
        <v>17</v>
      </c>
      <c r="E407">
        <v>22</v>
      </c>
      <c r="F407" t="s">
        <v>14</v>
      </c>
      <c r="G407">
        <v>4</v>
      </c>
      <c r="H407">
        <v>25</v>
      </c>
      <c r="I407">
        <f t="shared" si="12"/>
        <v>100</v>
      </c>
      <c r="J407" s="4">
        <f t="shared" si="13"/>
        <v>1.5</v>
      </c>
      <c r="K407" t="str">
        <f>IF(RetailSales[[#This Row],[Age]]&lt;30,"Young Adult",IF(RetailSales[[#This Row],[Age]]&lt;50,"Adult","Senior"))</f>
        <v>Young Adult</v>
      </c>
      <c r="L407" t="str">
        <f>_xlfn.CONCAT(I407,"_",RetailSales[[#This Row],[Product Category]])</f>
        <v>100_Beauty</v>
      </c>
    </row>
    <row r="408" spans="1:12">
      <c r="A408">
        <v>407</v>
      </c>
      <c r="B408">
        <v>45102</v>
      </c>
      <c r="C408" t="s">
        <v>435</v>
      </c>
      <c r="D408" t="s">
        <v>17</v>
      </c>
      <c r="E408">
        <v>46</v>
      </c>
      <c r="F408" t="s">
        <v>20</v>
      </c>
      <c r="G408">
        <v>3</v>
      </c>
      <c r="H408">
        <v>300</v>
      </c>
      <c r="I408">
        <f t="shared" si="12"/>
        <v>900</v>
      </c>
      <c r="J408" s="4">
        <f t="shared" si="13"/>
        <v>13.5</v>
      </c>
      <c r="K408" t="str">
        <f>IF(RetailSales[[#This Row],[Age]]&lt;30,"Young Adult",IF(RetailSales[[#This Row],[Age]]&lt;50,"Adult","Senior"))</f>
        <v>Adult</v>
      </c>
      <c r="L408" t="str">
        <f>_xlfn.CONCAT(I408,"_",RetailSales[[#This Row],[Product Category]])</f>
        <v>900_Electronics</v>
      </c>
    </row>
    <row r="409" spans="1:12">
      <c r="A409">
        <v>408</v>
      </c>
      <c r="B409">
        <v>45031</v>
      </c>
      <c r="C409" t="s">
        <v>436</v>
      </c>
      <c r="D409" t="s">
        <v>17</v>
      </c>
      <c r="E409">
        <v>64</v>
      </c>
      <c r="F409" t="s">
        <v>14</v>
      </c>
      <c r="G409">
        <v>1</v>
      </c>
      <c r="H409">
        <v>500</v>
      </c>
      <c r="I409">
        <f t="shared" si="12"/>
        <v>500</v>
      </c>
      <c r="J409" s="4">
        <f t="shared" si="13"/>
        <v>7.5</v>
      </c>
      <c r="K409" t="str">
        <f>IF(RetailSales[[#This Row],[Age]]&lt;30,"Young Adult",IF(RetailSales[[#This Row],[Age]]&lt;50,"Adult","Senior"))</f>
        <v>Senior</v>
      </c>
      <c r="L409" t="str">
        <f>_xlfn.CONCAT(I409,"_",RetailSales[[#This Row],[Product Category]])</f>
        <v>500_Beauty</v>
      </c>
    </row>
    <row r="410" spans="1:12">
      <c r="A410">
        <v>409</v>
      </c>
      <c r="B410">
        <v>45278</v>
      </c>
      <c r="C410" t="s">
        <v>437</v>
      </c>
      <c r="D410" t="s">
        <v>17</v>
      </c>
      <c r="E410">
        <v>21</v>
      </c>
      <c r="F410" t="s">
        <v>20</v>
      </c>
      <c r="G410">
        <v>3</v>
      </c>
      <c r="H410">
        <v>300</v>
      </c>
      <c r="I410">
        <f t="shared" si="12"/>
        <v>900</v>
      </c>
      <c r="J410" s="4">
        <f t="shared" si="13"/>
        <v>13.5</v>
      </c>
      <c r="K410" t="str">
        <f>IF(RetailSales[[#This Row],[Age]]&lt;30,"Young Adult",IF(RetailSales[[#This Row],[Age]]&lt;50,"Adult","Senior"))</f>
        <v>Young Adult</v>
      </c>
      <c r="L410" t="str">
        <f>_xlfn.CONCAT(I410,"_",RetailSales[[#This Row],[Product Category]])</f>
        <v>900_Electronics</v>
      </c>
    </row>
    <row r="411" spans="1:12">
      <c r="A411">
        <v>410</v>
      </c>
      <c r="B411">
        <v>45251</v>
      </c>
      <c r="C411" t="s">
        <v>438</v>
      </c>
      <c r="D411" t="s">
        <v>17</v>
      </c>
      <c r="E411">
        <v>29</v>
      </c>
      <c r="F411" t="s">
        <v>18</v>
      </c>
      <c r="G411">
        <v>2</v>
      </c>
      <c r="H411">
        <v>50</v>
      </c>
      <c r="I411">
        <f t="shared" si="12"/>
        <v>100</v>
      </c>
      <c r="J411" s="4">
        <f t="shared" si="13"/>
        <v>1.5</v>
      </c>
      <c r="K411" t="str">
        <f>IF(RetailSales[[#This Row],[Age]]&lt;30,"Young Adult",IF(RetailSales[[#This Row],[Age]]&lt;50,"Adult","Senior"))</f>
        <v>Young Adult</v>
      </c>
      <c r="L411" t="str">
        <f>_xlfn.CONCAT(I411,"_",RetailSales[[#This Row],[Product Category]])</f>
        <v>100_Clothing</v>
      </c>
    </row>
    <row r="412" spans="1:12">
      <c r="A412">
        <v>411</v>
      </c>
      <c r="B412">
        <v>45062</v>
      </c>
      <c r="C412" t="s">
        <v>439</v>
      </c>
      <c r="D412" t="s">
        <v>13</v>
      </c>
      <c r="E412">
        <v>62</v>
      </c>
      <c r="F412" t="s">
        <v>20</v>
      </c>
      <c r="G412">
        <v>4</v>
      </c>
      <c r="H412">
        <v>50</v>
      </c>
      <c r="I412">
        <f t="shared" si="12"/>
        <v>200</v>
      </c>
      <c r="J412" s="4">
        <f t="shared" si="13"/>
        <v>3</v>
      </c>
      <c r="K412" t="str">
        <f>IF(RetailSales[[#This Row],[Age]]&lt;30,"Young Adult",IF(RetailSales[[#This Row],[Age]]&lt;50,"Adult","Senior"))</f>
        <v>Senior</v>
      </c>
      <c r="L412" t="str">
        <f>_xlfn.CONCAT(I412,"_",RetailSales[[#This Row],[Product Category]])</f>
        <v>200_Electronics</v>
      </c>
    </row>
    <row r="413" spans="1:12">
      <c r="A413">
        <v>412</v>
      </c>
      <c r="B413">
        <v>45185</v>
      </c>
      <c r="C413" t="s">
        <v>440</v>
      </c>
      <c r="D413" t="s">
        <v>17</v>
      </c>
      <c r="E413">
        <v>19</v>
      </c>
      <c r="F413" t="s">
        <v>20</v>
      </c>
      <c r="G413">
        <v>4</v>
      </c>
      <c r="H413">
        <v>500</v>
      </c>
      <c r="I413">
        <f t="shared" si="12"/>
        <v>2000</v>
      </c>
      <c r="J413" s="4">
        <f t="shared" si="13"/>
        <v>30</v>
      </c>
      <c r="K413" t="str">
        <f>IF(RetailSales[[#This Row],[Age]]&lt;30,"Young Adult",IF(RetailSales[[#This Row],[Age]]&lt;50,"Adult","Senior"))</f>
        <v>Young Adult</v>
      </c>
      <c r="L413" t="str">
        <f>_xlfn.CONCAT(I413,"_",RetailSales[[#This Row],[Product Category]])</f>
        <v>2000_Electronics</v>
      </c>
    </row>
    <row r="414" spans="1:12">
      <c r="A414">
        <v>413</v>
      </c>
      <c r="B414">
        <v>45177</v>
      </c>
      <c r="C414" t="s">
        <v>441</v>
      </c>
      <c r="D414" t="s">
        <v>17</v>
      </c>
      <c r="E414">
        <v>44</v>
      </c>
      <c r="F414" t="s">
        <v>14</v>
      </c>
      <c r="G414">
        <v>3</v>
      </c>
      <c r="H414">
        <v>25</v>
      </c>
      <c r="I414">
        <f t="shared" si="12"/>
        <v>75</v>
      </c>
      <c r="J414" s="4">
        <f t="shared" si="13"/>
        <v>1.125</v>
      </c>
      <c r="K414" t="str">
        <f>IF(RetailSales[[#This Row],[Age]]&lt;30,"Young Adult",IF(RetailSales[[#This Row],[Age]]&lt;50,"Adult","Senior"))</f>
        <v>Adult</v>
      </c>
      <c r="L414" t="str">
        <f>_xlfn.CONCAT(I414,"_",RetailSales[[#This Row],[Product Category]])</f>
        <v>75_Beauty</v>
      </c>
    </row>
    <row r="415" spans="1:12">
      <c r="A415">
        <v>414</v>
      </c>
      <c r="B415">
        <v>45055</v>
      </c>
      <c r="C415" t="s">
        <v>442</v>
      </c>
      <c r="D415" t="s">
        <v>13</v>
      </c>
      <c r="E415">
        <v>48</v>
      </c>
      <c r="F415" t="s">
        <v>14</v>
      </c>
      <c r="G415">
        <v>4</v>
      </c>
      <c r="H415">
        <v>25</v>
      </c>
      <c r="I415">
        <f t="shared" si="12"/>
        <v>100</v>
      </c>
      <c r="J415" s="4">
        <f t="shared" si="13"/>
        <v>1.5</v>
      </c>
      <c r="K415" t="str">
        <f>IF(RetailSales[[#This Row],[Age]]&lt;30,"Young Adult",IF(RetailSales[[#This Row],[Age]]&lt;50,"Adult","Senior"))</f>
        <v>Adult</v>
      </c>
      <c r="L415" t="str">
        <f>_xlfn.CONCAT(I415,"_",RetailSales[[#This Row],[Product Category]])</f>
        <v>100_Beauty</v>
      </c>
    </row>
    <row r="416" spans="1:12">
      <c r="A416">
        <v>415</v>
      </c>
      <c r="B416">
        <v>44953</v>
      </c>
      <c r="C416" t="s">
        <v>443</v>
      </c>
      <c r="D416" t="s">
        <v>13</v>
      </c>
      <c r="E416">
        <v>53</v>
      </c>
      <c r="F416" t="s">
        <v>18</v>
      </c>
      <c r="G416">
        <v>2</v>
      </c>
      <c r="H416">
        <v>30</v>
      </c>
      <c r="I416">
        <f t="shared" si="12"/>
        <v>60</v>
      </c>
      <c r="J416" s="4">
        <f t="shared" si="13"/>
        <v>0.89999999999999991</v>
      </c>
      <c r="K416" t="str">
        <f>IF(RetailSales[[#This Row],[Age]]&lt;30,"Young Adult",IF(RetailSales[[#This Row],[Age]]&lt;50,"Adult","Senior"))</f>
        <v>Senior</v>
      </c>
      <c r="L416" t="str">
        <f>_xlfn.CONCAT(I416,"_",RetailSales[[#This Row],[Product Category]])</f>
        <v>60_Clothing</v>
      </c>
    </row>
    <row r="417" spans="1:12">
      <c r="A417">
        <v>416</v>
      </c>
      <c r="B417">
        <v>44974</v>
      </c>
      <c r="C417" t="s">
        <v>444</v>
      </c>
      <c r="D417" t="s">
        <v>13</v>
      </c>
      <c r="E417">
        <v>53</v>
      </c>
      <c r="F417" t="s">
        <v>20</v>
      </c>
      <c r="G417">
        <v>4</v>
      </c>
      <c r="H417">
        <v>500</v>
      </c>
      <c r="I417">
        <f t="shared" si="12"/>
        <v>2000</v>
      </c>
      <c r="J417" s="4">
        <f t="shared" si="13"/>
        <v>30</v>
      </c>
      <c r="K417" t="str">
        <f>IF(RetailSales[[#This Row],[Age]]&lt;30,"Young Adult",IF(RetailSales[[#This Row],[Age]]&lt;50,"Adult","Senior"))</f>
        <v>Senior</v>
      </c>
      <c r="L417" t="str">
        <f>_xlfn.CONCAT(I417,"_",RetailSales[[#This Row],[Product Category]])</f>
        <v>2000_Electronics</v>
      </c>
    </row>
    <row r="418" spans="1:12">
      <c r="A418">
        <v>417</v>
      </c>
      <c r="B418">
        <v>45251</v>
      </c>
      <c r="C418" t="s">
        <v>445</v>
      </c>
      <c r="D418" t="s">
        <v>13</v>
      </c>
      <c r="E418">
        <v>43</v>
      </c>
      <c r="F418" t="s">
        <v>20</v>
      </c>
      <c r="G418">
        <v>3</v>
      </c>
      <c r="H418">
        <v>300</v>
      </c>
      <c r="I418">
        <f t="shared" si="12"/>
        <v>900</v>
      </c>
      <c r="J418" s="4">
        <f t="shared" si="13"/>
        <v>13.5</v>
      </c>
      <c r="K418" t="str">
        <f>IF(RetailSales[[#This Row],[Age]]&lt;30,"Young Adult",IF(RetailSales[[#This Row],[Age]]&lt;50,"Adult","Senior"))</f>
        <v>Adult</v>
      </c>
      <c r="L418" t="str">
        <f>_xlfn.CONCAT(I418,"_",RetailSales[[#This Row],[Product Category]])</f>
        <v>900_Electronics</v>
      </c>
    </row>
    <row r="419" spans="1:12">
      <c r="A419">
        <v>418</v>
      </c>
      <c r="B419">
        <v>45143</v>
      </c>
      <c r="C419" t="s">
        <v>446</v>
      </c>
      <c r="D419" t="s">
        <v>17</v>
      </c>
      <c r="E419">
        <v>60</v>
      </c>
      <c r="F419" t="s">
        <v>20</v>
      </c>
      <c r="G419">
        <v>2</v>
      </c>
      <c r="H419">
        <v>500</v>
      </c>
      <c r="I419">
        <f t="shared" si="12"/>
        <v>1000</v>
      </c>
      <c r="J419" s="4">
        <f t="shared" si="13"/>
        <v>15</v>
      </c>
      <c r="K419" t="str">
        <f>IF(RetailSales[[#This Row],[Age]]&lt;30,"Young Adult",IF(RetailSales[[#This Row],[Age]]&lt;50,"Adult","Senior"))</f>
        <v>Senior</v>
      </c>
      <c r="L419" t="str">
        <f>_xlfn.CONCAT(I419,"_",RetailSales[[#This Row],[Product Category]])</f>
        <v>1000_Electronics</v>
      </c>
    </row>
    <row r="420" spans="1:12">
      <c r="A420">
        <v>419</v>
      </c>
      <c r="B420">
        <v>45068</v>
      </c>
      <c r="C420" t="s">
        <v>447</v>
      </c>
      <c r="D420" t="s">
        <v>17</v>
      </c>
      <c r="E420">
        <v>44</v>
      </c>
      <c r="F420" t="s">
        <v>18</v>
      </c>
      <c r="G420">
        <v>3</v>
      </c>
      <c r="H420">
        <v>30</v>
      </c>
      <c r="I420">
        <f t="shared" si="12"/>
        <v>90</v>
      </c>
      <c r="J420" s="4">
        <f t="shared" si="13"/>
        <v>1.3499999999999999</v>
      </c>
      <c r="K420" t="str">
        <f>IF(RetailSales[[#This Row],[Age]]&lt;30,"Young Adult",IF(RetailSales[[#This Row],[Age]]&lt;50,"Adult","Senior"))</f>
        <v>Adult</v>
      </c>
      <c r="L420" t="str">
        <f>_xlfn.CONCAT(I420,"_",RetailSales[[#This Row],[Product Category]])</f>
        <v>90_Clothing</v>
      </c>
    </row>
    <row r="421" spans="1:12">
      <c r="A421">
        <v>420</v>
      </c>
      <c r="B421">
        <v>44949</v>
      </c>
      <c r="C421" t="s">
        <v>448</v>
      </c>
      <c r="D421" t="s">
        <v>17</v>
      </c>
      <c r="E421">
        <v>22</v>
      </c>
      <c r="F421" t="s">
        <v>18</v>
      </c>
      <c r="G421">
        <v>4</v>
      </c>
      <c r="H421">
        <v>500</v>
      </c>
      <c r="I421">
        <f t="shared" si="12"/>
        <v>2000</v>
      </c>
      <c r="J421" s="4">
        <f t="shared" si="13"/>
        <v>30</v>
      </c>
      <c r="K421" t="str">
        <f>IF(RetailSales[[#This Row],[Age]]&lt;30,"Young Adult",IF(RetailSales[[#This Row],[Age]]&lt;50,"Adult","Senior"))</f>
        <v>Young Adult</v>
      </c>
      <c r="L421" t="str">
        <f>_xlfn.CONCAT(I421,"_",RetailSales[[#This Row],[Product Category]])</f>
        <v>2000_Clothing</v>
      </c>
    </row>
    <row r="422" spans="1:12">
      <c r="A422">
        <v>421</v>
      </c>
      <c r="B422">
        <v>44928</v>
      </c>
      <c r="C422" t="s">
        <v>449</v>
      </c>
      <c r="D422" t="s">
        <v>17</v>
      </c>
      <c r="E422">
        <v>37</v>
      </c>
      <c r="F422" t="s">
        <v>18</v>
      </c>
      <c r="G422">
        <v>3</v>
      </c>
      <c r="H422">
        <v>500</v>
      </c>
      <c r="I422">
        <f t="shared" si="12"/>
        <v>1500</v>
      </c>
      <c r="J422" s="4">
        <f t="shared" si="13"/>
        <v>22.5</v>
      </c>
      <c r="K422" t="str">
        <f>IF(RetailSales[[#This Row],[Age]]&lt;30,"Young Adult",IF(RetailSales[[#This Row],[Age]]&lt;50,"Adult","Senior"))</f>
        <v>Adult</v>
      </c>
      <c r="L422" t="str">
        <f>_xlfn.CONCAT(I422,"_",RetailSales[[#This Row],[Product Category]])</f>
        <v>1500_Clothing</v>
      </c>
    </row>
    <row r="423" spans="1:12">
      <c r="A423">
        <v>422</v>
      </c>
      <c r="B423">
        <v>45097</v>
      </c>
      <c r="C423" t="s">
        <v>450</v>
      </c>
      <c r="D423" t="s">
        <v>17</v>
      </c>
      <c r="E423">
        <v>28</v>
      </c>
      <c r="F423" t="s">
        <v>18</v>
      </c>
      <c r="G423">
        <v>3</v>
      </c>
      <c r="H423">
        <v>30</v>
      </c>
      <c r="I423">
        <f t="shared" si="12"/>
        <v>90</v>
      </c>
      <c r="J423" s="4">
        <f t="shared" si="13"/>
        <v>1.3499999999999999</v>
      </c>
      <c r="K423" t="str">
        <f>IF(RetailSales[[#This Row],[Age]]&lt;30,"Young Adult",IF(RetailSales[[#This Row],[Age]]&lt;50,"Adult","Senior"))</f>
        <v>Young Adult</v>
      </c>
      <c r="L423" t="str">
        <f>_xlfn.CONCAT(I423,"_",RetailSales[[#This Row],[Product Category]])</f>
        <v>90_Clothing</v>
      </c>
    </row>
    <row r="424" spans="1:12">
      <c r="A424">
        <v>423</v>
      </c>
      <c r="B424">
        <v>44993</v>
      </c>
      <c r="C424" t="s">
        <v>451</v>
      </c>
      <c r="D424" t="s">
        <v>17</v>
      </c>
      <c r="E424">
        <v>27</v>
      </c>
      <c r="F424" t="s">
        <v>18</v>
      </c>
      <c r="G424">
        <v>1</v>
      </c>
      <c r="H424">
        <v>25</v>
      </c>
      <c r="I424">
        <f t="shared" si="12"/>
        <v>25</v>
      </c>
      <c r="J424" s="4">
        <f t="shared" si="13"/>
        <v>0.375</v>
      </c>
      <c r="K424" t="str">
        <f>IF(RetailSales[[#This Row],[Age]]&lt;30,"Young Adult",IF(RetailSales[[#This Row],[Age]]&lt;50,"Adult","Senior"))</f>
        <v>Young Adult</v>
      </c>
      <c r="L424" t="str">
        <f>_xlfn.CONCAT(I424,"_",RetailSales[[#This Row],[Product Category]])</f>
        <v>25_Clothing</v>
      </c>
    </row>
    <row r="425" spans="1:12">
      <c r="A425">
        <v>424</v>
      </c>
      <c r="B425">
        <v>45253</v>
      </c>
      <c r="C425" t="s">
        <v>452</v>
      </c>
      <c r="D425" t="s">
        <v>13</v>
      </c>
      <c r="E425">
        <v>57</v>
      </c>
      <c r="F425" t="s">
        <v>14</v>
      </c>
      <c r="G425">
        <v>4</v>
      </c>
      <c r="H425">
        <v>300</v>
      </c>
      <c r="I425">
        <f t="shared" si="12"/>
        <v>1200</v>
      </c>
      <c r="J425" s="4">
        <f t="shared" si="13"/>
        <v>18</v>
      </c>
      <c r="K425" t="str">
        <f>IF(RetailSales[[#This Row],[Age]]&lt;30,"Young Adult",IF(RetailSales[[#This Row],[Age]]&lt;50,"Adult","Senior"))</f>
        <v>Senior</v>
      </c>
      <c r="L425" t="str">
        <f>_xlfn.CONCAT(I425,"_",RetailSales[[#This Row],[Product Category]])</f>
        <v>1200_Beauty</v>
      </c>
    </row>
    <row r="426" spans="1:12">
      <c r="A426">
        <v>425</v>
      </c>
      <c r="B426">
        <v>45061</v>
      </c>
      <c r="C426" t="s">
        <v>453</v>
      </c>
      <c r="D426" t="s">
        <v>17</v>
      </c>
      <c r="E426">
        <v>55</v>
      </c>
      <c r="F426" t="s">
        <v>20</v>
      </c>
      <c r="G426">
        <v>4</v>
      </c>
      <c r="H426">
        <v>30</v>
      </c>
      <c r="I426">
        <f t="shared" si="12"/>
        <v>120</v>
      </c>
      <c r="J426" s="4">
        <f t="shared" si="13"/>
        <v>1.7999999999999998</v>
      </c>
      <c r="K426" t="str">
        <f>IF(RetailSales[[#This Row],[Age]]&lt;30,"Young Adult",IF(RetailSales[[#This Row],[Age]]&lt;50,"Adult","Senior"))</f>
        <v>Senior</v>
      </c>
      <c r="L426" t="str">
        <f>_xlfn.CONCAT(I426,"_",RetailSales[[#This Row],[Product Category]])</f>
        <v>120_Electronics</v>
      </c>
    </row>
    <row r="427" spans="1:12">
      <c r="A427">
        <v>426</v>
      </c>
      <c r="B427">
        <v>45009</v>
      </c>
      <c r="C427" t="s">
        <v>454</v>
      </c>
      <c r="D427" t="s">
        <v>13</v>
      </c>
      <c r="E427">
        <v>23</v>
      </c>
      <c r="F427" t="s">
        <v>20</v>
      </c>
      <c r="G427">
        <v>3</v>
      </c>
      <c r="H427">
        <v>50</v>
      </c>
      <c r="I427">
        <f t="shared" si="12"/>
        <v>150</v>
      </c>
      <c r="J427" s="4">
        <f t="shared" si="13"/>
        <v>2.25</v>
      </c>
      <c r="K427" t="str">
        <f>IF(RetailSales[[#This Row],[Age]]&lt;30,"Young Adult",IF(RetailSales[[#This Row],[Age]]&lt;50,"Adult","Senior"))</f>
        <v>Young Adult</v>
      </c>
      <c r="L427" t="str">
        <f>_xlfn.CONCAT(I427,"_",RetailSales[[#This Row],[Product Category]])</f>
        <v>150_Electronics</v>
      </c>
    </row>
    <row r="428" spans="1:12">
      <c r="A428">
        <v>427</v>
      </c>
      <c r="B428">
        <v>45153</v>
      </c>
      <c r="C428" t="s">
        <v>455</v>
      </c>
      <c r="D428" t="s">
        <v>13</v>
      </c>
      <c r="E428">
        <v>25</v>
      </c>
      <c r="F428" t="s">
        <v>20</v>
      </c>
      <c r="G428">
        <v>1</v>
      </c>
      <c r="H428">
        <v>25</v>
      </c>
      <c r="I428">
        <f t="shared" si="12"/>
        <v>25</v>
      </c>
      <c r="J428" s="4">
        <f t="shared" si="13"/>
        <v>0.375</v>
      </c>
      <c r="K428" t="str">
        <f>IF(RetailSales[[#This Row],[Age]]&lt;30,"Young Adult",IF(RetailSales[[#This Row],[Age]]&lt;50,"Adult","Senior"))</f>
        <v>Young Adult</v>
      </c>
      <c r="L428" t="str">
        <f>_xlfn.CONCAT(I428,"_",RetailSales[[#This Row],[Product Category]])</f>
        <v>25_Electronics</v>
      </c>
    </row>
    <row r="429" spans="1:12">
      <c r="A429">
        <v>428</v>
      </c>
      <c r="B429">
        <v>45209</v>
      </c>
      <c r="C429" t="s">
        <v>456</v>
      </c>
      <c r="D429" t="s">
        <v>17</v>
      </c>
      <c r="E429">
        <v>40</v>
      </c>
      <c r="F429" t="s">
        <v>20</v>
      </c>
      <c r="G429">
        <v>4</v>
      </c>
      <c r="H429">
        <v>50</v>
      </c>
      <c r="I429">
        <f t="shared" si="12"/>
        <v>200</v>
      </c>
      <c r="J429" s="4">
        <f t="shared" si="13"/>
        <v>3</v>
      </c>
      <c r="K429" t="str">
        <f>IF(RetailSales[[#This Row],[Age]]&lt;30,"Young Adult",IF(RetailSales[[#This Row],[Age]]&lt;50,"Adult","Senior"))</f>
        <v>Adult</v>
      </c>
      <c r="L429" t="str">
        <f>_xlfn.CONCAT(I429,"_",RetailSales[[#This Row],[Product Category]])</f>
        <v>200_Electronics</v>
      </c>
    </row>
    <row r="430" spans="1:12">
      <c r="A430">
        <v>429</v>
      </c>
      <c r="B430">
        <v>45288</v>
      </c>
      <c r="C430" t="s">
        <v>457</v>
      </c>
      <c r="D430" t="s">
        <v>13</v>
      </c>
      <c r="E430">
        <v>64</v>
      </c>
      <c r="F430" t="s">
        <v>20</v>
      </c>
      <c r="G430">
        <v>2</v>
      </c>
      <c r="H430">
        <v>25</v>
      </c>
      <c r="I430">
        <f t="shared" si="12"/>
        <v>50</v>
      </c>
      <c r="J430" s="4">
        <f t="shared" si="13"/>
        <v>0.75</v>
      </c>
      <c r="K430" t="str">
        <f>IF(RetailSales[[#This Row],[Age]]&lt;30,"Young Adult",IF(RetailSales[[#This Row],[Age]]&lt;50,"Adult","Senior"))</f>
        <v>Senior</v>
      </c>
      <c r="L430" t="str">
        <f>_xlfn.CONCAT(I430,"_",RetailSales[[#This Row],[Product Category]])</f>
        <v>50_Electronics</v>
      </c>
    </row>
    <row r="431" spans="1:12">
      <c r="A431">
        <v>430</v>
      </c>
      <c r="B431">
        <v>45145</v>
      </c>
      <c r="C431" t="s">
        <v>458</v>
      </c>
      <c r="D431" t="s">
        <v>17</v>
      </c>
      <c r="E431">
        <v>43</v>
      </c>
      <c r="F431" t="s">
        <v>20</v>
      </c>
      <c r="G431">
        <v>3</v>
      </c>
      <c r="H431">
        <v>300</v>
      </c>
      <c r="I431">
        <f t="shared" si="12"/>
        <v>900</v>
      </c>
      <c r="J431" s="4">
        <f t="shared" si="13"/>
        <v>13.5</v>
      </c>
      <c r="K431" t="str">
        <f>IF(RetailSales[[#This Row],[Age]]&lt;30,"Young Adult",IF(RetailSales[[#This Row],[Age]]&lt;50,"Adult","Senior"))</f>
        <v>Adult</v>
      </c>
      <c r="L431" t="str">
        <f>_xlfn.CONCAT(I431,"_",RetailSales[[#This Row],[Product Category]])</f>
        <v>900_Electronics</v>
      </c>
    </row>
    <row r="432" spans="1:12">
      <c r="A432">
        <v>431</v>
      </c>
      <c r="B432">
        <v>45214</v>
      </c>
      <c r="C432" t="s">
        <v>459</v>
      </c>
      <c r="D432" t="s">
        <v>13</v>
      </c>
      <c r="E432">
        <v>63</v>
      </c>
      <c r="F432" t="s">
        <v>20</v>
      </c>
      <c r="G432">
        <v>4</v>
      </c>
      <c r="H432">
        <v>300</v>
      </c>
      <c r="I432">
        <f t="shared" si="12"/>
        <v>1200</v>
      </c>
      <c r="J432" s="4">
        <f t="shared" si="13"/>
        <v>18</v>
      </c>
      <c r="K432" t="str">
        <f>IF(RetailSales[[#This Row],[Age]]&lt;30,"Young Adult",IF(RetailSales[[#This Row],[Age]]&lt;50,"Adult","Senior"))</f>
        <v>Senior</v>
      </c>
      <c r="L432" t="str">
        <f>_xlfn.CONCAT(I432,"_",RetailSales[[#This Row],[Product Category]])</f>
        <v>1200_Electronics</v>
      </c>
    </row>
    <row r="433" spans="1:12">
      <c r="A433">
        <v>432</v>
      </c>
      <c r="B433">
        <v>44931</v>
      </c>
      <c r="C433" t="s">
        <v>460</v>
      </c>
      <c r="D433" t="s">
        <v>17</v>
      </c>
      <c r="E433">
        <v>60</v>
      </c>
      <c r="F433" t="s">
        <v>20</v>
      </c>
      <c r="G433">
        <v>2</v>
      </c>
      <c r="H433">
        <v>500</v>
      </c>
      <c r="I433">
        <f t="shared" si="12"/>
        <v>1000</v>
      </c>
      <c r="J433" s="4">
        <f t="shared" si="13"/>
        <v>15</v>
      </c>
      <c r="K433" t="str">
        <f>IF(RetailSales[[#This Row],[Age]]&lt;30,"Young Adult",IF(RetailSales[[#This Row],[Age]]&lt;50,"Adult","Senior"))</f>
        <v>Senior</v>
      </c>
      <c r="L433" t="str">
        <f>_xlfn.CONCAT(I433,"_",RetailSales[[#This Row],[Product Category]])</f>
        <v>1000_Electronics</v>
      </c>
    </row>
    <row r="434" spans="1:12">
      <c r="A434">
        <v>433</v>
      </c>
      <c r="B434">
        <v>44984</v>
      </c>
      <c r="C434" t="s">
        <v>461</v>
      </c>
      <c r="D434" t="s">
        <v>13</v>
      </c>
      <c r="E434">
        <v>29</v>
      </c>
      <c r="F434" t="s">
        <v>14</v>
      </c>
      <c r="G434">
        <v>4</v>
      </c>
      <c r="H434">
        <v>50</v>
      </c>
      <c r="I434">
        <f t="shared" si="12"/>
        <v>200</v>
      </c>
      <c r="J434" s="4">
        <f t="shared" si="13"/>
        <v>3</v>
      </c>
      <c r="K434" t="str">
        <f>IF(RetailSales[[#This Row],[Age]]&lt;30,"Young Adult",IF(RetailSales[[#This Row],[Age]]&lt;50,"Adult","Senior"))</f>
        <v>Young Adult</v>
      </c>
      <c r="L434" t="str">
        <f>_xlfn.CONCAT(I434,"_",RetailSales[[#This Row],[Product Category]])</f>
        <v>200_Beauty</v>
      </c>
    </row>
    <row r="435" spans="1:12">
      <c r="A435">
        <v>434</v>
      </c>
      <c r="B435">
        <v>44965</v>
      </c>
      <c r="C435" t="s">
        <v>462</v>
      </c>
      <c r="D435" t="s">
        <v>17</v>
      </c>
      <c r="E435">
        <v>43</v>
      </c>
      <c r="F435" t="s">
        <v>20</v>
      </c>
      <c r="G435">
        <v>2</v>
      </c>
      <c r="H435">
        <v>25</v>
      </c>
      <c r="I435">
        <f t="shared" si="12"/>
        <v>50</v>
      </c>
      <c r="J435" s="4">
        <f t="shared" si="13"/>
        <v>0.75</v>
      </c>
      <c r="K435" t="str">
        <f>IF(RetailSales[[#This Row],[Age]]&lt;30,"Young Adult",IF(RetailSales[[#This Row],[Age]]&lt;50,"Adult","Senior"))</f>
        <v>Adult</v>
      </c>
      <c r="L435" t="str">
        <f>_xlfn.CONCAT(I435,"_",RetailSales[[#This Row],[Product Category]])</f>
        <v>50_Electronics</v>
      </c>
    </row>
    <row r="436" spans="1:12">
      <c r="A436">
        <v>435</v>
      </c>
      <c r="B436">
        <v>45280</v>
      </c>
      <c r="C436" t="s">
        <v>463</v>
      </c>
      <c r="D436" t="s">
        <v>17</v>
      </c>
      <c r="E436">
        <v>30</v>
      </c>
      <c r="F436" t="s">
        <v>14</v>
      </c>
      <c r="G436">
        <v>3</v>
      </c>
      <c r="H436">
        <v>300</v>
      </c>
      <c r="I436">
        <f t="shared" si="12"/>
        <v>900</v>
      </c>
      <c r="J436" s="4">
        <f t="shared" si="13"/>
        <v>13.5</v>
      </c>
      <c r="K436" t="str">
        <f>IF(RetailSales[[#This Row],[Age]]&lt;30,"Young Adult",IF(RetailSales[[#This Row],[Age]]&lt;50,"Adult","Senior"))</f>
        <v>Adult</v>
      </c>
      <c r="L436" t="str">
        <f>_xlfn.CONCAT(I436,"_",RetailSales[[#This Row],[Product Category]])</f>
        <v>900_Beauty</v>
      </c>
    </row>
    <row r="437" spans="1:12">
      <c r="A437">
        <v>436</v>
      </c>
      <c r="B437">
        <v>45003</v>
      </c>
      <c r="C437" t="s">
        <v>464</v>
      </c>
      <c r="D437" t="s">
        <v>17</v>
      </c>
      <c r="E437">
        <v>57</v>
      </c>
      <c r="F437" t="s">
        <v>18</v>
      </c>
      <c r="G437">
        <v>4</v>
      </c>
      <c r="H437">
        <v>30</v>
      </c>
      <c r="I437">
        <f t="shared" si="12"/>
        <v>120</v>
      </c>
      <c r="J437" s="4">
        <f t="shared" si="13"/>
        <v>1.7999999999999998</v>
      </c>
      <c r="K437" t="str">
        <f>IF(RetailSales[[#This Row],[Age]]&lt;30,"Young Adult",IF(RetailSales[[#This Row],[Age]]&lt;50,"Adult","Senior"))</f>
        <v>Senior</v>
      </c>
      <c r="L437" t="str">
        <f>_xlfn.CONCAT(I437,"_",RetailSales[[#This Row],[Product Category]])</f>
        <v>120_Clothing</v>
      </c>
    </row>
    <row r="438" spans="1:12">
      <c r="A438">
        <v>437</v>
      </c>
      <c r="B438">
        <v>45206</v>
      </c>
      <c r="C438" t="s">
        <v>465</v>
      </c>
      <c r="D438" t="s">
        <v>17</v>
      </c>
      <c r="E438">
        <v>35</v>
      </c>
      <c r="F438" t="s">
        <v>20</v>
      </c>
      <c r="G438">
        <v>4</v>
      </c>
      <c r="H438">
        <v>300</v>
      </c>
      <c r="I438">
        <f t="shared" si="12"/>
        <v>1200</v>
      </c>
      <c r="J438" s="4">
        <f t="shared" si="13"/>
        <v>18</v>
      </c>
      <c r="K438" t="str">
        <f>IF(RetailSales[[#This Row],[Age]]&lt;30,"Young Adult",IF(RetailSales[[#This Row],[Age]]&lt;50,"Adult","Senior"))</f>
        <v>Adult</v>
      </c>
      <c r="L438" t="str">
        <f>_xlfn.CONCAT(I438,"_",RetailSales[[#This Row],[Product Category]])</f>
        <v>1200_Electronics</v>
      </c>
    </row>
    <row r="439" spans="1:12">
      <c r="A439">
        <v>438</v>
      </c>
      <c r="B439">
        <v>44945</v>
      </c>
      <c r="C439" t="s">
        <v>466</v>
      </c>
      <c r="D439" t="s">
        <v>17</v>
      </c>
      <c r="E439">
        <v>42</v>
      </c>
      <c r="F439" t="s">
        <v>18</v>
      </c>
      <c r="G439">
        <v>1</v>
      </c>
      <c r="H439">
        <v>30</v>
      </c>
      <c r="I439">
        <f t="shared" si="12"/>
        <v>30</v>
      </c>
      <c r="J439" s="4">
        <f t="shared" si="13"/>
        <v>0.44999999999999996</v>
      </c>
      <c r="K439" t="str">
        <f>IF(RetailSales[[#This Row],[Age]]&lt;30,"Young Adult",IF(RetailSales[[#This Row],[Age]]&lt;50,"Adult","Senior"))</f>
        <v>Adult</v>
      </c>
      <c r="L439" t="str">
        <f>_xlfn.CONCAT(I439,"_",RetailSales[[#This Row],[Product Category]])</f>
        <v>30_Clothing</v>
      </c>
    </row>
    <row r="440" spans="1:12">
      <c r="A440">
        <v>439</v>
      </c>
      <c r="B440">
        <v>45116</v>
      </c>
      <c r="C440" t="s">
        <v>467</v>
      </c>
      <c r="D440" t="s">
        <v>13</v>
      </c>
      <c r="E440">
        <v>50</v>
      </c>
      <c r="F440" t="s">
        <v>18</v>
      </c>
      <c r="G440">
        <v>3</v>
      </c>
      <c r="H440">
        <v>25</v>
      </c>
      <c r="I440">
        <f t="shared" si="12"/>
        <v>75</v>
      </c>
      <c r="J440" s="4">
        <f t="shared" si="13"/>
        <v>1.125</v>
      </c>
      <c r="K440" t="str">
        <f>IF(RetailSales[[#This Row],[Age]]&lt;30,"Young Adult",IF(RetailSales[[#This Row],[Age]]&lt;50,"Adult","Senior"))</f>
        <v>Senior</v>
      </c>
      <c r="L440" t="str">
        <f>_xlfn.CONCAT(I440,"_",RetailSales[[#This Row],[Product Category]])</f>
        <v>75_Clothing</v>
      </c>
    </row>
    <row r="441" spans="1:12">
      <c r="A441">
        <v>440</v>
      </c>
      <c r="B441">
        <v>45225</v>
      </c>
      <c r="C441" t="s">
        <v>468</v>
      </c>
      <c r="D441" t="s">
        <v>13</v>
      </c>
      <c r="E441">
        <v>64</v>
      </c>
      <c r="F441" t="s">
        <v>18</v>
      </c>
      <c r="G441">
        <v>2</v>
      </c>
      <c r="H441">
        <v>300</v>
      </c>
      <c r="I441">
        <f t="shared" si="12"/>
        <v>600</v>
      </c>
      <c r="J441" s="4">
        <f t="shared" si="13"/>
        <v>9</v>
      </c>
      <c r="K441" t="str">
        <f>IF(RetailSales[[#This Row],[Age]]&lt;30,"Young Adult",IF(RetailSales[[#This Row],[Age]]&lt;50,"Adult","Senior"))</f>
        <v>Senior</v>
      </c>
      <c r="L441" t="str">
        <f>_xlfn.CONCAT(I441,"_",RetailSales[[#This Row],[Product Category]])</f>
        <v>600_Clothing</v>
      </c>
    </row>
    <row r="442" spans="1:12">
      <c r="A442">
        <v>441</v>
      </c>
      <c r="B442">
        <v>45209</v>
      </c>
      <c r="C442" t="s">
        <v>469</v>
      </c>
      <c r="D442" t="s">
        <v>13</v>
      </c>
      <c r="E442">
        <v>57</v>
      </c>
      <c r="F442" t="s">
        <v>14</v>
      </c>
      <c r="G442">
        <v>4</v>
      </c>
      <c r="H442">
        <v>300</v>
      </c>
      <c r="I442">
        <f t="shared" si="12"/>
        <v>1200</v>
      </c>
      <c r="J442" s="4">
        <f t="shared" si="13"/>
        <v>18</v>
      </c>
      <c r="K442" t="str">
        <f>IF(RetailSales[[#This Row],[Age]]&lt;30,"Young Adult",IF(RetailSales[[#This Row],[Age]]&lt;50,"Adult","Senior"))</f>
        <v>Senior</v>
      </c>
      <c r="L442" t="str">
        <f>_xlfn.CONCAT(I442,"_",RetailSales[[#This Row],[Product Category]])</f>
        <v>1200_Beauty</v>
      </c>
    </row>
    <row r="443" spans="1:12">
      <c r="A443">
        <v>442</v>
      </c>
      <c r="B443">
        <v>45002</v>
      </c>
      <c r="C443" t="s">
        <v>470</v>
      </c>
      <c r="D443" t="s">
        <v>17</v>
      </c>
      <c r="E443">
        <v>60</v>
      </c>
      <c r="F443" t="s">
        <v>18</v>
      </c>
      <c r="G443">
        <v>4</v>
      </c>
      <c r="H443">
        <v>25</v>
      </c>
      <c r="I443">
        <f t="shared" si="12"/>
        <v>100</v>
      </c>
      <c r="J443" s="4">
        <f t="shared" si="13"/>
        <v>1.5</v>
      </c>
      <c r="K443" t="str">
        <f>IF(RetailSales[[#This Row],[Age]]&lt;30,"Young Adult",IF(RetailSales[[#This Row],[Age]]&lt;50,"Adult","Senior"))</f>
        <v>Senior</v>
      </c>
      <c r="L443" t="str">
        <f>_xlfn.CONCAT(I443,"_",RetailSales[[#This Row],[Product Category]])</f>
        <v>100_Clothing</v>
      </c>
    </row>
    <row r="444" spans="1:12">
      <c r="A444">
        <v>443</v>
      </c>
      <c r="B444">
        <v>45147</v>
      </c>
      <c r="C444" t="s">
        <v>471</v>
      </c>
      <c r="D444" t="s">
        <v>13</v>
      </c>
      <c r="E444">
        <v>29</v>
      </c>
      <c r="F444" t="s">
        <v>18</v>
      </c>
      <c r="G444">
        <v>2</v>
      </c>
      <c r="H444">
        <v>300</v>
      </c>
      <c r="I444">
        <f t="shared" si="12"/>
        <v>600</v>
      </c>
      <c r="J444" s="4">
        <f t="shared" si="13"/>
        <v>9</v>
      </c>
      <c r="K444" t="str">
        <f>IF(RetailSales[[#This Row],[Age]]&lt;30,"Young Adult",IF(RetailSales[[#This Row],[Age]]&lt;50,"Adult","Senior"))</f>
        <v>Young Adult</v>
      </c>
      <c r="L444" t="str">
        <f>_xlfn.CONCAT(I444,"_",RetailSales[[#This Row],[Product Category]])</f>
        <v>600_Clothing</v>
      </c>
    </row>
    <row r="445" spans="1:12">
      <c r="A445">
        <v>444</v>
      </c>
      <c r="B445">
        <v>44992</v>
      </c>
      <c r="C445" t="s">
        <v>472</v>
      </c>
      <c r="D445" t="s">
        <v>17</v>
      </c>
      <c r="E445">
        <v>61</v>
      </c>
      <c r="F445" t="s">
        <v>18</v>
      </c>
      <c r="G445">
        <v>3</v>
      </c>
      <c r="H445">
        <v>30</v>
      </c>
      <c r="I445">
        <f t="shared" si="12"/>
        <v>90</v>
      </c>
      <c r="J445" s="4">
        <f t="shared" si="13"/>
        <v>1.3499999999999999</v>
      </c>
      <c r="K445" t="str">
        <f>IF(RetailSales[[#This Row],[Age]]&lt;30,"Young Adult",IF(RetailSales[[#This Row],[Age]]&lt;50,"Adult","Senior"))</f>
        <v>Senior</v>
      </c>
      <c r="L445" t="str">
        <f>_xlfn.CONCAT(I445,"_",RetailSales[[#This Row],[Product Category]])</f>
        <v>90_Clothing</v>
      </c>
    </row>
    <row r="446" spans="1:12">
      <c r="A446">
        <v>445</v>
      </c>
      <c r="B446">
        <v>44948</v>
      </c>
      <c r="C446" t="s">
        <v>473</v>
      </c>
      <c r="D446" t="s">
        <v>17</v>
      </c>
      <c r="E446">
        <v>53</v>
      </c>
      <c r="F446" t="s">
        <v>20</v>
      </c>
      <c r="G446">
        <v>1</v>
      </c>
      <c r="H446">
        <v>300</v>
      </c>
      <c r="I446">
        <f t="shared" si="12"/>
        <v>300</v>
      </c>
      <c r="J446" s="4">
        <f t="shared" si="13"/>
        <v>4.5</v>
      </c>
      <c r="K446" t="str">
        <f>IF(RetailSales[[#This Row],[Age]]&lt;30,"Young Adult",IF(RetailSales[[#This Row],[Age]]&lt;50,"Adult","Senior"))</f>
        <v>Senior</v>
      </c>
      <c r="L446" t="str">
        <f>_xlfn.CONCAT(I446,"_",RetailSales[[#This Row],[Product Category]])</f>
        <v>300_Electronics</v>
      </c>
    </row>
    <row r="447" spans="1:12">
      <c r="A447">
        <v>446</v>
      </c>
      <c r="B447">
        <v>45084</v>
      </c>
      <c r="C447" t="s">
        <v>474</v>
      </c>
      <c r="D447" t="s">
        <v>13</v>
      </c>
      <c r="E447">
        <v>21</v>
      </c>
      <c r="F447" t="s">
        <v>20</v>
      </c>
      <c r="G447">
        <v>1</v>
      </c>
      <c r="H447">
        <v>50</v>
      </c>
      <c r="I447">
        <f t="shared" si="12"/>
        <v>50</v>
      </c>
      <c r="J447" s="4">
        <f t="shared" si="13"/>
        <v>0.75</v>
      </c>
      <c r="K447" t="str">
        <f>IF(RetailSales[[#This Row],[Age]]&lt;30,"Young Adult",IF(RetailSales[[#This Row],[Age]]&lt;50,"Adult","Senior"))</f>
        <v>Young Adult</v>
      </c>
      <c r="L447" t="str">
        <f>_xlfn.CONCAT(I447,"_",RetailSales[[#This Row],[Product Category]])</f>
        <v>50_Electronics</v>
      </c>
    </row>
    <row r="448" spans="1:12">
      <c r="A448">
        <v>447</v>
      </c>
      <c r="B448">
        <v>45113</v>
      </c>
      <c r="C448" t="s">
        <v>475</v>
      </c>
      <c r="D448" t="s">
        <v>13</v>
      </c>
      <c r="E448">
        <v>22</v>
      </c>
      <c r="F448" t="s">
        <v>14</v>
      </c>
      <c r="G448">
        <v>4</v>
      </c>
      <c r="H448">
        <v>500</v>
      </c>
      <c r="I448">
        <f t="shared" si="12"/>
        <v>2000</v>
      </c>
      <c r="J448" s="4">
        <f t="shared" si="13"/>
        <v>30</v>
      </c>
      <c r="K448" t="str">
        <f>IF(RetailSales[[#This Row],[Age]]&lt;30,"Young Adult",IF(RetailSales[[#This Row],[Age]]&lt;50,"Adult","Senior"))</f>
        <v>Young Adult</v>
      </c>
      <c r="L448" t="str">
        <f>_xlfn.CONCAT(I448,"_",RetailSales[[#This Row],[Product Category]])</f>
        <v>2000_Beauty</v>
      </c>
    </row>
    <row r="449" spans="1:12">
      <c r="A449">
        <v>448</v>
      </c>
      <c r="B449">
        <v>44947</v>
      </c>
      <c r="C449" t="s">
        <v>476</v>
      </c>
      <c r="D449" t="s">
        <v>17</v>
      </c>
      <c r="E449">
        <v>54</v>
      </c>
      <c r="F449" t="s">
        <v>14</v>
      </c>
      <c r="G449">
        <v>2</v>
      </c>
      <c r="H449">
        <v>30</v>
      </c>
      <c r="I449">
        <f t="shared" si="12"/>
        <v>60</v>
      </c>
      <c r="J449" s="4">
        <f t="shared" si="13"/>
        <v>0.89999999999999991</v>
      </c>
      <c r="K449" t="str">
        <f>IF(RetailSales[[#This Row],[Age]]&lt;30,"Young Adult",IF(RetailSales[[#This Row],[Age]]&lt;50,"Adult","Senior"))</f>
        <v>Senior</v>
      </c>
      <c r="L449" t="str">
        <f>_xlfn.CONCAT(I449,"_",RetailSales[[#This Row],[Product Category]])</f>
        <v>60_Beauty</v>
      </c>
    </row>
    <row r="450" spans="1:12">
      <c r="A450">
        <v>449</v>
      </c>
      <c r="B450">
        <v>45110</v>
      </c>
      <c r="C450" t="s">
        <v>477</v>
      </c>
      <c r="D450" t="s">
        <v>13</v>
      </c>
      <c r="E450">
        <v>25</v>
      </c>
      <c r="F450" t="s">
        <v>20</v>
      </c>
      <c r="G450">
        <v>4</v>
      </c>
      <c r="H450">
        <v>50</v>
      </c>
      <c r="I450">
        <f t="shared" si="12"/>
        <v>200</v>
      </c>
      <c r="J450" s="4">
        <f t="shared" si="13"/>
        <v>3</v>
      </c>
      <c r="K450" t="str">
        <f>IF(RetailSales[[#This Row],[Age]]&lt;30,"Young Adult",IF(RetailSales[[#This Row],[Age]]&lt;50,"Adult","Senior"))</f>
        <v>Young Adult</v>
      </c>
      <c r="L450" t="str">
        <f>_xlfn.CONCAT(I450,"_",RetailSales[[#This Row],[Product Category]])</f>
        <v>200_Electronics</v>
      </c>
    </row>
    <row r="451" spans="1:12">
      <c r="A451">
        <v>450</v>
      </c>
      <c r="B451">
        <v>45034</v>
      </c>
      <c r="C451" t="s">
        <v>478</v>
      </c>
      <c r="D451" t="s">
        <v>17</v>
      </c>
      <c r="E451">
        <v>59</v>
      </c>
      <c r="F451" t="s">
        <v>14</v>
      </c>
      <c r="G451">
        <v>2</v>
      </c>
      <c r="H451">
        <v>25</v>
      </c>
      <c r="I451">
        <f t="shared" ref="I451:I514" si="14">G451*H451</f>
        <v>50</v>
      </c>
      <c r="J451" s="4">
        <f t="shared" ref="J451:J514" si="15">I451*$O$3</f>
        <v>0.75</v>
      </c>
      <c r="K451" t="str">
        <f>IF(RetailSales[[#This Row],[Age]]&lt;30,"Young Adult",IF(RetailSales[[#This Row],[Age]]&lt;50,"Adult","Senior"))</f>
        <v>Senior</v>
      </c>
      <c r="L451" t="str">
        <f>_xlfn.CONCAT(I451,"_",RetailSales[[#This Row],[Product Category]])</f>
        <v>50_Beauty</v>
      </c>
    </row>
    <row r="452" spans="1:12">
      <c r="A452">
        <v>451</v>
      </c>
      <c r="B452">
        <v>45276</v>
      </c>
      <c r="C452" t="s">
        <v>479</v>
      </c>
      <c r="D452" t="s">
        <v>17</v>
      </c>
      <c r="E452">
        <v>45</v>
      </c>
      <c r="F452" t="s">
        <v>20</v>
      </c>
      <c r="G452">
        <v>1</v>
      </c>
      <c r="H452">
        <v>30</v>
      </c>
      <c r="I452">
        <f t="shared" si="14"/>
        <v>30</v>
      </c>
      <c r="J452" s="4">
        <f t="shared" si="15"/>
        <v>0.44999999999999996</v>
      </c>
      <c r="K452" t="str">
        <f>IF(RetailSales[[#This Row],[Age]]&lt;30,"Young Adult",IF(RetailSales[[#This Row],[Age]]&lt;50,"Adult","Senior"))</f>
        <v>Adult</v>
      </c>
      <c r="L452" t="str">
        <f>_xlfn.CONCAT(I452,"_",RetailSales[[#This Row],[Product Category]])</f>
        <v>30_Electronics</v>
      </c>
    </row>
    <row r="453" spans="1:12">
      <c r="A453">
        <v>452</v>
      </c>
      <c r="B453">
        <v>45054</v>
      </c>
      <c r="C453" t="s">
        <v>480</v>
      </c>
      <c r="D453" t="s">
        <v>17</v>
      </c>
      <c r="E453">
        <v>48</v>
      </c>
      <c r="F453" t="s">
        <v>18</v>
      </c>
      <c r="G453">
        <v>3</v>
      </c>
      <c r="H453">
        <v>500</v>
      </c>
      <c r="I453">
        <f t="shared" si="14"/>
        <v>1500</v>
      </c>
      <c r="J453" s="4">
        <f t="shared" si="15"/>
        <v>22.5</v>
      </c>
      <c r="K453" t="str">
        <f>IF(RetailSales[[#This Row],[Age]]&lt;30,"Young Adult",IF(RetailSales[[#This Row],[Age]]&lt;50,"Adult","Senior"))</f>
        <v>Adult</v>
      </c>
      <c r="L453" t="str">
        <f>_xlfn.CONCAT(I453,"_",RetailSales[[#This Row],[Product Category]])</f>
        <v>1500_Clothing</v>
      </c>
    </row>
    <row r="454" spans="1:12">
      <c r="A454">
        <v>453</v>
      </c>
      <c r="B454">
        <v>45268</v>
      </c>
      <c r="C454" t="s">
        <v>481</v>
      </c>
      <c r="D454" t="s">
        <v>17</v>
      </c>
      <c r="E454">
        <v>26</v>
      </c>
      <c r="F454" t="s">
        <v>18</v>
      </c>
      <c r="G454">
        <v>2</v>
      </c>
      <c r="H454">
        <v>500</v>
      </c>
      <c r="I454">
        <f t="shared" si="14"/>
        <v>1000</v>
      </c>
      <c r="J454" s="4">
        <f t="shared" si="15"/>
        <v>15</v>
      </c>
      <c r="K454" t="str">
        <f>IF(RetailSales[[#This Row],[Age]]&lt;30,"Young Adult",IF(RetailSales[[#This Row],[Age]]&lt;50,"Adult","Senior"))</f>
        <v>Young Adult</v>
      </c>
      <c r="L454" t="str">
        <f>_xlfn.CONCAT(I454,"_",RetailSales[[#This Row],[Product Category]])</f>
        <v>1000_Clothing</v>
      </c>
    </row>
    <row r="455" spans="1:12">
      <c r="A455">
        <v>454</v>
      </c>
      <c r="B455">
        <v>44979</v>
      </c>
      <c r="C455" t="s">
        <v>482</v>
      </c>
      <c r="D455" t="s">
        <v>17</v>
      </c>
      <c r="E455">
        <v>46</v>
      </c>
      <c r="F455" t="s">
        <v>14</v>
      </c>
      <c r="G455">
        <v>1</v>
      </c>
      <c r="H455">
        <v>25</v>
      </c>
      <c r="I455">
        <f t="shared" si="14"/>
        <v>25</v>
      </c>
      <c r="J455" s="4">
        <f t="shared" si="15"/>
        <v>0.375</v>
      </c>
      <c r="K455" t="str">
        <f>IF(RetailSales[[#This Row],[Age]]&lt;30,"Young Adult",IF(RetailSales[[#This Row],[Age]]&lt;50,"Adult","Senior"))</f>
        <v>Adult</v>
      </c>
      <c r="L455" t="str">
        <f>_xlfn.CONCAT(I455,"_",RetailSales[[#This Row],[Product Category]])</f>
        <v>25_Beauty</v>
      </c>
    </row>
    <row r="456" spans="1:12">
      <c r="A456">
        <v>455</v>
      </c>
      <c r="B456">
        <v>45108</v>
      </c>
      <c r="C456" t="s">
        <v>483</v>
      </c>
      <c r="D456" t="s">
        <v>13</v>
      </c>
      <c r="E456">
        <v>31</v>
      </c>
      <c r="F456" t="s">
        <v>20</v>
      </c>
      <c r="G456">
        <v>4</v>
      </c>
      <c r="H456">
        <v>25</v>
      </c>
      <c r="I456">
        <f t="shared" si="14"/>
        <v>100</v>
      </c>
      <c r="J456" s="4">
        <f t="shared" si="15"/>
        <v>1.5</v>
      </c>
      <c r="K456" t="str">
        <f>IF(RetailSales[[#This Row],[Age]]&lt;30,"Young Adult",IF(RetailSales[[#This Row],[Age]]&lt;50,"Adult","Senior"))</f>
        <v>Adult</v>
      </c>
      <c r="L456" t="str">
        <f>_xlfn.CONCAT(I456,"_",RetailSales[[#This Row],[Product Category]])</f>
        <v>100_Electronics</v>
      </c>
    </row>
    <row r="457" spans="1:12">
      <c r="A457">
        <v>456</v>
      </c>
      <c r="B457">
        <v>45213</v>
      </c>
      <c r="C457" t="s">
        <v>484</v>
      </c>
      <c r="D457" t="s">
        <v>13</v>
      </c>
      <c r="E457">
        <v>57</v>
      </c>
      <c r="F457" t="s">
        <v>20</v>
      </c>
      <c r="G457">
        <v>2</v>
      </c>
      <c r="H457">
        <v>30</v>
      </c>
      <c r="I457">
        <f t="shared" si="14"/>
        <v>60</v>
      </c>
      <c r="J457" s="4">
        <f t="shared" si="15"/>
        <v>0.89999999999999991</v>
      </c>
      <c r="K457" t="str">
        <f>IF(RetailSales[[#This Row],[Age]]&lt;30,"Young Adult",IF(RetailSales[[#This Row],[Age]]&lt;50,"Adult","Senior"))</f>
        <v>Senior</v>
      </c>
      <c r="L457" t="str">
        <f>_xlfn.CONCAT(I457,"_",RetailSales[[#This Row],[Product Category]])</f>
        <v>60_Electronics</v>
      </c>
    </row>
    <row r="458" spans="1:12">
      <c r="A458">
        <v>457</v>
      </c>
      <c r="B458">
        <v>45135</v>
      </c>
      <c r="C458" t="s">
        <v>485</v>
      </c>
      <c r="D458" t="s">
        <v>17</v>
      </c>
      <c r="E458">
        <v>58</v>
      </c>
      <c r="F458" t="s">
        <v>14</v>
      </c>
      <c r="G458">
        <v>3</v>
      </c>
      <c r="H458">
        <v>300</v>
      </c>
      <c r="I458">
        <f t="shared" si="14"/>
        <v>900</v>
      </c>
      <c r="J458" s="4">
        <f t="shared" si="15"/>
        <v>13.5</v>
      </c>
      <c r="K458" t="str">
        <f>IF(RetailSales[[#This Row],[Age]]&lt;30,"Young Adult",IF(RetailSales[[#This Row],[Age]]&lt;50,"Adult","Senior"))</f>
        <v>Senior</v>
      </c>
      <c r="L458" t="str">
        <f>_xlfn.CONCAT(I458,"_",RetailSales[[#This Row],[Product Category]])</f>
        <v>900_Beauty</v>
      </c>
    </row>
    <row r="459" spans="1:12">
      <c r="A459">
        <v>458</v>
      </c>
      <c r="B459">
        <v>45244</v>
      </c>
      <c r="C459" t="s">
        <v>486</v>
      </c>
      <c r="D459" t="s">
        <v>17</v>
      </c>
      <c r="E459">
        <v>39</v>
      </c>
      <c r="F459" t="s">
        <v>20</v>
      </c>
      <c r="G459">
        <v>4</v>
      </c>
      <c r="H459">
        <v>25</v>
      </c>
      <c r="I459">
        <f t="shared" si="14"/>
        <v>100</v>
      </c>
      <c r="J459" s="4">
        <f t="shared" si="15"/>
        <v>1.5</v>
      </c>
      <c r="K459" t="str">
        <f>IF(RetailSales[[#This Row],[Age]]&lt;30,"Young Adult",IF(RetailSales[[#This Row],[Age]]&lt;50,"Adult","Senior"))</f>
        <v>Adult</v>
      </c>
      <c r="L459" t="str">
        <f>_xlfn.CONCAT(I459,"_",RetailSales[[#This Row],[Product Category]])</f>
        <v>100_Electronics</v>
      </c>
    </row>
    <row r="460" spans="1:12">
      <c r="A460">
        <v>459</v>
      </c>
      <c r="B460">
        <v>45006</v>
      </c>
      <c r="C460" t="s">
        <v>487</v>
      </c>
      <c r="D460" t="s">
        <v>13</v>
      </c>
      <c r="E460">
        <v>28</v>
      </c>
      <c r="F460" t="s">
        <v>18</v>
      </c>
      <c r="G460">
        <v>4</v>
      </c>
      <c r="H460">
        <v>300</v>
      </c>
      <c r="I460">
        <f t="shared" si="14"/>
        <v>1200</v>
      </c>
      <c r="J460" s="4">
        <f t="shared" si="15"/>
        <v>18</v>
      </c>
      <c r="K460" t="str">
        <f>IF(RetailSales[[#This Row],[Age]]&lt;30,"Young Adult",IF(RetailSales[[#This Row],[Age]]&lt;50,"Adult","Senior"))</f>
        <v>Young Adult</v>
      </c>
      <c r="L460" t="str">
        <f>_xlfn.CONCAT(I460,"_",RetailSales[[#This Row],[Product Category]])</f>
        <v>1200_Clothing</v>
      </c>
    </row>
    <row r="461" spans="1:12">
      <c r="A461">
        <v>460</v>
      </c>
      <c r="B461">
        <v>45048</v>
      </c>
      <c r="C461" t="s">
        <v>488</v>
      </c>
      <c r="D461" t="s">
        <v>13</v>
      </c>
      <c r="E461">
        <v>40</v>
      </c>
      <c r="F461" t="s">
        <v>14</v>
      </c>
      <c r="G461">
        <v>1</v>
      </c>
      <c r="H461">
        <v>50</v>
      </c>
      <c r="I461">
        <f t="shared" si="14"/>
        <v>50</v>
      </c>
      <c r="J461" s="4">
        <f t="shared" si="15"/>
        <v>0.75</v>
      </c>
      <c r="K461" t="str">
        <f>IF(RetailSales[[#This Row],[Age]]&lt;30,"Young Adult",IF(RetailSales[[#This Row],[Age]]&lt;50,"Adult","Senior"))</f>
        <v>Adult</v>
      </c>
      <c r="L461" t="str">
        <f>_xlfn.CONCAT(I461,"_",RetailSales[[#This Row],[Product Category]])</f>
        <v>50_Beauty</v>
      </c>
    </row>
    <row r="462" spans="1:12">
      <c r="A462">
        <v>461</v>
      </c>
      <c r="B462">
        <v>45010</v>
      </c>
      <c r="C462" t="s">
        <v>489</v>
      </c>
      <c r="D462" t="s">
        <v>17</v>
      </c>
      <c r="E462">
        <v>18</v>
      </c>
      <c r="F462" t="s">
        <v>14</v>
      </c>
      <c r="G462">
        <v>2</v>
      </c>
      <c r="H462">
        <v>500</v>
      </c>
      <c r="I462">
        <f t="shared" si="14"/>
        <v>1000</v>
      </c>
      <c r="J462" s="4">
        <f t="shared" si="15"/>
        <v>15</v>
      </c>
      <c r="K462" t="str">
        <f>IF(RetailSales[[#This Row],[Age]]&lt;30,"Young Adult",IF(RetailSales[[#This Row],[Age]]&lt;50,"Adult","Senior"))</f>
        <v>Young Adult</v>
      </c>
      <c r="L462" t="str">
        <f>_xlfn.CONCAT(I462,"_",RetailSales[[#This Row],[Product Category]])</f>
        <v>1000_Beauty</v>
      </c>
    </row>
    <row r="463" spans="1:12">
      <c r="A463">
        <v>462</v>
      </c>
      <c r="B463">
        <v>45017</v>
      </c>
      <c r="C463" t="s">
        <v>490</v>
      </c>
      <c r="D463" t="s">
        <v>13</v>
      </c>
      <c r="E463">
        <v>63</v>
      </c>
      <c r="F463" t="s">
        <v>20</v>
      </c>
      <c r="G463">
        <v>4</v>
      </c>
      <c r="H463">
        <v>300</v>
      </c>
      <c r="I463">
        <f t="shared" si="14"/>
        <v>1200</v>
      </c>
      <c r="J463" s="4">
        <f t="shared" si="15"/>
        <v>18</v>
      </c>
      <c r="K463" t="str">
        <f>IF(RetailSales[[#This Row],[Age]]&lt;30,"Young Adult",IF(RetailSales[[#This Row],[Age]]&lt;50,"Adult","Senior"))</f>
        <v>Senior</v>
      </c>
      <c r="L463" t="str">
        <f>_xlfn.CONCAT(I463,"_",RetailSales[[#This Row],[Product Category]])</f>
        <v>1200_Electronics</v>
      </c>
    </row>
    <row r="464" spans="1:12">
      <c r="A464">
        <v>463</v>
      </c>
      <c r="B464">
        <v>45138</v>
      </c>
      <c r="C464" t="s">
        <v>491</v>
      </c>
      <c r="D464" t="s">
        <v>17</v>
      </c>
      <c r="E464">
        <v>54</v>
      </c>
      <c r="F464" t="s">
        <v>14</v>
      </c>
      <c r="G464">
        <v>3</v>
      </c>
      <c r="H464">
        <v>500</v>
      </c>
      <c r="I464">
        <f t="shared" si="14"/>
        <v>1500</v>
      </c>
      <c r="J464" s="4">
        <f t="shared" si="15"/>
        <v>22.5</v>
      </c>
      <c r="K464" t="str">
        <f>IF(RetailSales[[#This Row],[Age]]&lt;30,"Young Adult",IF(RetailSales[[#This Row],[Age]]&lt;50,"Adult","Senior"))</f>
        <v>Senior</v>
      </c>
      <c r="L464" t="str">
        <f>_xlfn.CONCAT(I464,"_",RetailSales[[#This Row],[Product Category]])</f>
        <v>1500_Beauty</v>
      </c>
    </row>
    <row r="465" spans="1:12">
      <c r="A465">
        <v>464</v>
      </c>
      <c r="B465">
        <v>44939</v>
      </c>
      <c r="C465" t="s">
        <v>492</v>
      </c>
      <c r="D465" t="s">
        <v>13</v>
      </c>
      <c r="E465">
        <v>38</v>
      </c>
      <c r="F465" t="s">
        <v>20</v>
      </c>
      <c r="G465">
        <v>2</v>
      </c>
      <c r="H465">
        <v>300</v>
      </c>
      <c r="I465">
        <f t="shared" si="14"/>
        <v>600</v>
      </c>
      <c r="J465" s="4">
        <f t="shared" si="15"/>
        <v>9</v>
      </c>
      <c r="K465" t="str">
        <f>IF(RetailSales[[#This Row],[Age]]&lt;30,"Young Adult",IF(RetailSales[[#This Row],[Age]]&lt;50,"Adult","Senior"))</f>
        <v>Adult</v>
      </c>
      <c r="L465" t="str">
        <f>_xlfn.CONCAT(I465,"_",RetailSales[[#This Row],[Product Category]])</f>
        <v>600_Electronics</v>
      </c>
    </row>
    <row r="466" spans="1:12">
      <c r="A466">
        <v>465</v>
      </c>
      <c r="B466">
        <v>45018</v>
      </c>
      <c r="C466" t="s">
        <v>493</v>
      </c>
      <c r="D466" t="s">
        <v>17</v>
      </c>
      <c r="E466">
        <v>43</v>
      </c>
      <c r="F466" t="s">
        <v>20</v>
      </c>
      <c r="G466">
        <v>3</v>
      </c>
      <c r="H466">
        <v>50</v>
      </c>
      <c r="I466">
        <f t="shared" si="14"/>
        <v>150</v>
      </c>
      <c r="J466" s="4">
        <f t="shared" si="15"/>
        <v>2.25</v>
      </c>
      <c r="K466" t="str">
        <f>IF(RetailSales[[#This Row],[Age]]&lt;30,"Young Adult",IF(RetailSales[[#This Row],[Age]]&lt;50,"Adult","Senior"))</f>
        <v>Adult</v>
      </c>
      <c r="L466" t="str">
        <f>_xlfn.CONCAT(I466,"_",RetailSales[[#This Row],[Product Category]])</f>
        <v>150_Electronics</v>
      </c>
    </row>
    <row r="467" spans="1:12">
      <c r="A467">
        <v>466</v>
      </c>
      <c r="B467">
        <v>45097</v>
      </c>
      <c r="C467" t="s">
        <v>494</v>
      </c>
      <c r="D467" t="s">
        <v>13</v>
      </c>
      <c r="E467">
        <v>63</v>
      </c>
      <c r="F467" t="s">
        <v>20</v>
      </c>
      <c r="G467">
        <v>4</v>
      </c>
      <c r="H467">
        <v>25</v>
      </c>
      <c r="I467">
        <f t="shared" si="14"/>
        <v>100</v>
      </c>
      <c r="J467" s="4">
        <f t="shared" si="15"/>
        <v>1.5</v>
      </c>
      <c r="K467" t="str">
        <f>IF(RetailSales[[#This Row],[Age]]&lt;30,"Young Adult",IF(RetailSales[[#This Row],[Age]]&lt;50,"Adult","Senior"))</f>
        <v>Senior</v>
      </c>
      <c r="L467" t="str">
        <f>_xlfn.CONCAT(I467,"_",RetailSales[[#This Row],[Product Category]])</f>
        <v>100_Electronics</v>
      </c>
    </row>
    <row r="468" spans="1:12">
      <c r="A468">
        <v>467</v>
      </c>
      <c r="B468">
        <v>45137</v>
      </c>
      <c r="C468" t="s">
        <v>495</v>
      </c>
      <c r="D468" t="s">
        <v>17</v>
      </c>
      <c r="E468">
        <v>53</v>
      </c>
      <c r="F468" t="s">
        <v>20</v>
      </c>
      <c r="G468">
        <v>3</v>
      </c>
      <c r="H468">
        <v>50</v>
      </c>
      <c r="I468">
        <f t="shared" si="14"/>
        <v>150</v>
      </c>
      <c r="J468" s="4">
        <f t="shared" si="15"/>
        <v>2.25</v>
      </c>
      <c r="K468" t="str">
        <f>IF(RetailSales[[#This Row],[Age]]&lt;30,"Young Adult",IF(RetailSales[[#This Row],[Age]]&lt;50,"Adult","Senior"))</f>
        <v>Senior</v>
      </c>
      <c r="L468" t="str">
        <f>_xlfn.CONCAT(I468,"_",RetailSales[[#This Row],[Product Category]])</f>
        <v>150_Electronics</v>
      </c>
    </row>
    <row r="469" spans="1:12">
      <c r="A469">
        <v>468</v>
      </c>
      <c r="B469">
        <v>45269</v>
      </c>
      <c r="C469" t="s">
        <v>496</v>
      </c>
      <c r="D469" t="s">
        <v>13</v>
      </c>
      <c r="E469">
        <v>40</v>
      </c>
      <c r="F469" t="s">
        <v>20</v>
      </c>
      <c r="G469">
        <v>1</v>
      </c>
      <c r="H469">
        <v>25</v>
      </c>
      <c r="I469">
        <f t="shared" si="14"/>
        <v>25</v>
      </c>
      <c r="J469" s="4">
        <f t="shared" si="15"/>
        <v>0.375</v>
      </c>
      <c r="K469" t="str">
        <f>IF(RetailSales[[#This Row],[Age]]&lt;30,"Young Adult",IF(RetailSales[[#This Row],[Age]]&lt;50,"Adult","Senior"))</f>
        <v>Adult</v>
      </c>
      <c r="L469" t="str">
        <f>_xlfn.CONCAT(I469,"_",RetailSales[[#This Row],[Product Category]])</f>
        <v>25_Electronics</v>
      </c>
    </row>
    <row r="470" spans="1:12">
      <c r="A470">
        <v>469</v>
      </c>
      <c r="B470">
        <v>45054</v>
      </c>
      <c r="C470" t="s">
        <v>497</v>
      </c>
      <c r="D470" t="s">
        <v>13</v>
      </c>
      <c r="E470">
        <v>18</v>
      </c>
      <c r="F470" t="s">
        <v>14</v>
      </c>
      <c r="G470">
        <v>3</v>
      </c>
      <c r="H470">
        <v>25</v>
      </c>
      <c r="I470">
        <f t="shared" si="14"/>
        <v>75</v>
      </c>
      <c r="J470" s="4">
        <f t="shared" si="15"/>
        <v>1.125</v>
      </c>
      <c r="K470" t="str">
        <f>IF(RetailSales[[#This Row],[Age]]&lt;30,"Young Adult",IF(RetailSales[[#This Row],[Age]]&lt;50,"Adult","Senior"))</f>
        <v>Young Adult</v>
      </c>
      <c r="L470" t="str">
        <f>_xlfn.CONCAT(I470,"_",RetailSales[[#This Row],[Product Category]])</f>
        <v>75_Beauty</v>
      </c>
    </row>
    <row r="471" spans="1:12">
      <c r="A471">
        <v>470</v>
      </c>
      <c r="B471">
        <v>45063</v>
      </c>
      <c r="C471" t="s">
        <v>498</v>
      </c>
      <c r="D471" t="s">
        <v>17</v>
      </c>
      <c r="E471">
        <v>57</v>
      </c>
      <c r="F471" t="s">
        <v>18</v>
      </c>
      <c r="G471">
        <v>2</v>
      </c>
      <c r="H471">
        <v>500</v>
      </c>
      <c r="I471">
        <f t="shared" si="14"/>
        <v>1000</v>
      </c>
      <c r="J471" s="4">
        <f t="shared" si="15"/>
        <v>15</v>
      </c>
      <c r="K471" t="str">
        <f>IF(RetailSales[[#This Row],[Age]]&lt;30,"Young Adult",IF(RetailSales[[#This Row],[Age]]&lt;50,"Adult","Senior"))</f>
        <v>Senior</v>
      </c>
      <c r="L471" t="str">
        <f>_xlfn.CONCAT(I471,"_",RetailSales[[#This Row],[Product Category]])</f>
        <v>1000_Clothing</v>
      </c>
    </row>
    <row r="472" spans="1:12">
      <c r="A472">
        <v>471</v>
      </c>
      <c r="B472">
        <v>45008</v>
      </c>
      <c r="C472" t="s">
        <v>499</v>
      </c>
      <c r="D472" t="s">
        <v>13</v>
      </c>
      <c r="E472">
        <v>32</v>
      </c>
      <c r="F472" t="s">
        <v>18</v>
      </c>
      <c r="G472">
        <v>3</v>
      </c>
      <c r="H472">
        <v>50</v>
      </c>
      <c r="I472">
        <f t="shared" si="14"/>
        <v>150</v>
      </c>
      <c r="J472" s="4">
        <f t="shared" si="15"/>
        <v>2.25</v>
      </c>
      <c r="K472" t="str">
        <f>IF(RetailSales[[#This Row],[Age]]&lt;30,"Young Adult",IF(RetailSales[[#This Row],[Age]]&lt;50,"Adult","Senior"))</f>
        <v>Adult</v>
      </c>
      <c r="L472" t="str">
        <f>_xlfn.CONCAT(I472,"_",RetailSales[[#This Row],[Product Category]])</f>
        <v>150_Clothing</v>
      </c>
    </row>
    <row r="473" spans="1:12">
      <c r="A473">
        <v>472</v>
      </c>
      <c r="B473">
        <v>45286</v>
      </c>
      <c r="C473" t="s">
        <v>500</v>
      </c>
      <c r="D473" t="s">
        <v>17</v>
      </c>
      <c r="E473">
        <v>38</v>
      </c>
      <c r="F473" t="s">
        <v>14</v>
      </c>
      <c r="G473">
        <v>3</v>
      </c>
      <c r="H473">
        <v>300</v>
      </c>
      <c r="I473">
        <f t="shared" si="14"/>
        <v>900</v>
      </c>
      <c r="J473" s="4">
        <f t="shared" si="15"/>
        <v>13.5</v>
      </c>
      <c r="K473" t="str">
        <f>IF(RetailSales[[#This Row],[Age]]&lt;30,"Young Adult",IF(RetailSales[[#This Row],[Age]]&lt;50,"Adult","Senior"))</f>
        <v>Adult</v>
      </c>
      <c r="L473" t="str">
        <f>_xlfn.CONCAT(I473,"_",RetailSales[[#This Row],[Product Category]])</f>
        <v>900_Beauty</v>
      </c>
    </row>
    <row r="474" spans="1:12">
      <c r="A474">
        <v>473</v>
      </c>
      <c r="B474">
        <v>44982</v>
      </c>
      <c r="C474" t="s">
        <v>501</v>
      </c>
      <c r="D474" t="s">
        <v>13</v>
      </c>
      <c r="E474">
        <v>64</v>
      </c>
      <c r="F474" t="s">
        <v>14</v>
      </c>
      <c r="G474">
        <v>1</v>
      </c>
      <c r="H474">
        <v>50</v>
      </c>
      <c r="I474">
        <f t="shared" si="14"/>
        <v>50</v>
      </c>
      <c r="J474" s="4">
        <f t="shared" si="15"/>
        <v>0.75</v>
      </c>
      <c r="K474" t="str">
        <f>IF(RetailSales[[#This Row],[Age]]&lt;30,"Young Adult",IF(RetailSales[[#This Row],[Age]]&lt;50,"Adult","Senior"))</f>
        <v>Senior</v>
      </c>
      <c r="L474" t="str">
        <f>_xlfn.CONCAT(I474,"_",RetailSales[[#This Row],[Product Category]])</f>
        <v>50_Beauty</v>
      </c>
    </row>
    <row r="475" spans="1:12">
      <c r="A475">
        <v>474</v>
      </c>
      <c r="B475">
        <v>45122</v>
      </c>
      <c r="C475" t="s">
        <v>502</v>
      </c>
      <c r="D475" t="s">
        <v>17</v>
      </c>
      <c r="E475">
        <v>26</v>
      </c>
      <c r="F475" t="s">
        <v>18</v>
      </c>
      <c r="G475">
        <v>3</v>
      </c>
      <c r="H475">
        <v>500</v>
      </c>
      <c r="I475">
        <f t="shared" si="14"/>
        <v>1500</v>
      </c>
      <c r="J475" s="4">
        <f t="shared" si="15"/>
        <v>22.5</v>
      </c>
      <c r="K475" t="str">
        <f>IF(RetailSales[[#This Row],[Age]]&lt;30,"Young Adult",IF(RetailSales[[#This Row],[Age]]&lt;50,"Adult","Senior"))</f>
        <v>Young Adult</v>
      </c>
      <c r="L475" t="str">
        <f>_xlfn.CONCAT(I475,"_",RetailSales[[#This Row],[Product Category]])</f>
        <v>1500_Clothing</v>
      </c>
    </row>
    <row r="476" spans="1:12">
      <c r="A476">
        <v>475</v>
      </c>
      <c r="B476">
        <v>44946</v>
      </c>
      <c r="C476" t="s">
        <v>503</v>
      </c>
      <c r="D476" t="s">
        <v>13</v>
      </c>
      <c r="E476">
        <v>26</v>
      </c>
      <c r="F476" t="s">
        <v>18</v>
      </c>
      <c r="G476">
        <v>3</v>
      </c>
      <c r="H476">
        <v>25</v>
      </c>
      <c r="I476">
        <f t="shared" si="14"/>
        <v>75</v>
      </c>
      <c r="J476" s="4">
        <f t="shared" si="15"/>
        <v>1.125</v>
      </c>
      <c r="K476" t="str">
        <f>IF(RetailSales[[#This Row],[Age]]&lt;30,"Young Adult",IF(RetailSales[[#This Row],[Age]]&lt;50,"Adult","Senior"))</f>
        <v>Young Adult</v>
      </c>
      <c r="L476" t="str">
        <f>_xlfn.CONCAT(I476,"_",RetailSales[[#This Row],[Product Category]])</f>
        <v>75_Clothing</v>
      </c>
    </row>
    <row r="477" spans="1:12">
      <c r="A477">
        <v>476</v>
      </c>
      <c r="B477">
        <v>45167</v>
      </c>
      <c r="C477" t="s">
        <v>504</v>
      </c>
      <c r="D477" t="s">
        <v>17</v>
      </c>
      <c r="E477">
        <v>27</v>
      </c>
      <c r="F477" t="s">
        <v>18</v>
      </c>
      <c r="G477">
        <v>4</v>
      </c>
      <c r="H477">
        <v>500</v>
      </c>
      <c r="I477">
        <f t="shared" si="14"/>
        <v>2000</v>
      </c>
      <c r="J477" s="4">
        <f t="shared" si="15"/>
        <v>30</v>
      </c>
      <c r="K477" t="str">
        <f>IF(RetailSales[[#This Row],[Age]]&lt;30,"Young Adult",IF(RetailSales[[#This Row],[Age]]&lt;50,"Adult","Senior"))</f>
        <v>Young Adult</v>
      </c>
      <c r="L477" t="str">
        <f>_xlfn.CONCAT(I477,"_",RetailSales[[#This Row],[Product Category]])</f>
        <v>2000_Clothing</v>
      </c>
    </row>
    <row r="478" spans="1:12">
      <c r="A478">
        <v>477</v>
      </c>
      <c r="B478">
        <v>45040</v>
      </c>
      <c r="C478" t="s">
        <v>505</v>
      </c>
      <c r="D478" t="s">
        <v>13</v>
      </c>
      <c r="E478">
        <v>43</v>
      </c>
      <c r="F478" t="s">
        <v>18</v>
      </c>
      <c r="G478">
        <v>4</v>
      </c>
      <c r="H478">
        <v>30</v>
      </c>
      <c r="I478">
        <f t="shared" si="14"/>
        <v>120</v>
      </c>
      <c r="J478" s="4">
        <f t="shared" si="15"/>
        <v>1.7999999999999998</v>
      </c>
      <c r="K478" t="str">
        <f>IF(RetailSales[[#This Row],[Age]]&lt;30,"Young Adult",IF(RetailSales[[#This Row],[Age]]&lt;50,"Adult","Senior"))</f>
        <v>Adult</v>
      </c>
      <c r="L478" t="str">
        <f>_xlfn.CONCAT(I478,"_",RetailSales[[#This Row],[Product Category]])</f>
        <v>120_Clothing</v>
      </c>
    </row>
    <row r="479" spans="1:12">
      <c r="A479">
        <v>478</v>
      </c>
      <c r="B479">
        <v>45029</v>
      </c>
      <c r="C479" t="s">
        <v>506</v>
      </c>
      <c r="D479" t="s">
        <v>17</v>
      </c>
      <c r="E479">
        <v>58</v>
      </c>
      <c r="F479" t="s">
        <v>18</v>
      </c>
      <c r="G479">
        <v>2</v>
      </c>
      <c r="H479">
        <v>30</v>
      </c>
      <c r="I479">
        <f t="shared" si="14"/>
        <v>60</v>
      </c>
      <c r="J479" s="4">
        <f t="shared" si="15"/>
        <v>0.89999999999999991</v>
      </c>
      <c r="K479" t="str">
        <f>IF(RetailSales[[#This Row],[Age]]&lt;30,"Young Adult",IF(RetailSales[[#This Row],[Age]]&lt;50,"Adult","Senior"))</f>
        <v>Senior</v>
      </c>
      <c r="L479" t="str">
        <f>_xlfn.CONCAT(I479,"_",RetailSales[[#This Row],[Product Category]])</f>
        <v>60_Clothing</v>
      </c>
    </row>
    <row r="480" spans="1:12">
      <c r="A480">
        <v>479</v>
      </c>
      <c r="B480">
        <v>45162</v>
      </c>
      <c r="C480" t="s">
        <v>507</v>
      </c>
      <c r="D480" t="s">
        <v>13</v>
      </c>
      <c r="E480">
        <v>52</v>
      </c>
      <c r="F480" t="s">
        <v>20</v>
      </c>
      <c r="G480">
        <v>4</v>
      </c>
      <c r="H480">
        <v>300</v>
      </c>
      <c r="I480">
        <f t="shared" si="14"/>
        <v>1200</v>
      </c>
      <c r="J480" s="4">
        <f t="shared" si="15"/>
        <v>18</v>
      </c>
      <c r="K480" t="str">
        <f>IF(RetailSales[[#This Row],[Age]]&lt;30,"Young Adult",IF(RetailSales[[#This Row],[Age]]&lt;50,"Adult","Senior"))</f>
        <v>Senior</v>
      </c>
      <c r="L480" t="str">
        <f>_xlfn.CONCAT(I480,"_",RetailSales[[#This Row],[Product Category]])</f>
        <v>1200_Electronics</v>
      </c>
    </row>
    <row r="481" spans="1:12">
      <c r="A481">
        <v>480</v>
      </c>
      <c r="B481">
        <v>45106</v>
      </c>
      <c r="C481" t="s">
        <v>508</v>
      </c>
      <c r="D481" t="s">
        <v>17</v>
      </c>
      <c r="E481">
        <v>42</v>
      </c>
      <c r="F481" t="s">
        <v>14</v>
      </c>
      <c r="G481">
        <v>4</v>
      </c>
      <c r="H481">
        <v>500</v>
      </c>
      <c r="I481">
        <f t="shared" si="14"/>
        <v>2000</v>
      </c>
      <c r="J481" s="4">
        <f t="shared" si="15"/>
        <v>30</v>
      </c>
      <c r="K481" t="str">
        <f>IF(RetailSales[[#This Row],[Age]]&lt;30,"Young Adult",IF(RetailSales[[#This Row],[Age]]&lt;50,"Adult","Senior"))</f>
        <v>Adult</v>
      </c>
      <c r="L481" t="str">
        <f>_xlfn.CONCAT(I481,"_",RetailSales[[#This Row],[Product Category]])</f>
        <v>2000_Beauty</v>
      </c>
    </row>
    <row r="482" spans="1:12">
      <c r="A482">
        <v>481</v>
      </c>
      <c r="B482">
        <v>45083</v>
      </c>
      <c r="C482" t="s">
        <v>509</v>
      </c>
      <c r="D482" t="s">
        <v>17</v>
      </c>
      <c r="E482">
        <v>43</v>
      </c>
      <c r="F482" t="s">
        <v>20</v>
      </c>
      <c r="G482">
        <v>4</v>
      </c>
      <c r="H482">
        <v>300</v>
      </c>
      <c r="I482">
        <f t="shared" si="14"/>
        <v>1200</v>
      </c>
      <c r="J482" s="4">
        <f t="shared" si="15"/>
        <v>18</v>
      </c>
      <c r="K482" t="str">
        <f>IF(RetailSales[[#This Row],[Age]]&lt;30,"Young Adult",IF(RetailSales[[#This Row],[Age]]&lt;50,"Adult","Senior"))</f>
        <v>Adult</v>
      </c>
      <c r="L482" t="str">
        <f>_xlfn.CONCAT(I482,"_",RetailSales[[#This Row],[Product Category]])</f>
        <v>1200_Electronics</v>
      </c>
    </row>
    <row r="483" spans="1:12">
      <c r="A483">
        <v>482</v>
      </c>
      <c r="B483">
        <v>45043</v>
      </c>
      <c r="C483" t="s">
        <v>510</v>
      </c>
      <c r="D483" t="s">
        <v>17</v>
      </c>
      <c r="E483">
        <v>28</v>
      </c>
      <c r="F483" t="s">
        <v>18</v>
      </c>
      <c r="G483">
        <v>4</v>
      </c>
      <c r="H483">
        <v>300</v>
      </c>
      <c r="I483">
        <f t="shared" si="14"/>
        <v>1200</v>
      </c>
      <c r="J483" s="4">
        <f t="shared" si="15"/>
        <v>18</v>
      </c>
      <c r="K483" t="str">
        <f>IF(RetailSales[[#This Row],[Age]]&lt;30,"Young Adult",IF(RetailSales[[#This Row],[Age]]&lt;50,"Adult","Senior"))</f>
        <v>Young Adult</v>
      </c>
      <c r="L483" t="str">
        <f>_xlfn.CONCAT(I483,"_",RetailSales[[#This Row],[Product Category]])</f>
        <v>1200_Clothing</v>
      </c>
    </row>
    <row r="484" spans="1:12">
      <c r="A484">
        <v>483</v>
      </c>
      <c r="B484">
        <v>45041</v>
      </c>
      <c r="C484" t="s">
        <v>511</v>
      </c>
      <c r="D484" t="s">
        <v>13</v>
      </c>
      <c r="E484">
        <v>55</v>
      </c>
      <c r="F484" t="s">
        <v>18</v>
      </c>
      <c r="G484">
        <v>1</v>
      </c>
      <c r="H484">
        <v>30</v>
      </c>
      <c r="I484">
        <f t="shared" si="14"/>
        <v>30</v>
      </c>
      <c r="J484" s="4">
        <f t="shared" si="15"/>
        <v>0.44999999999999996</v>
      </c>
      <c r="K484" t="str">
        <f>IF(RetailSales[[#This Row],[Age]]&lt;30,"Young Adult",IF(RetailSales[[#This Row],[Age]]&lt;50,"Adult","Senior"))</f>
        <v>Senior</v>
      </c>
      <c r="L484" t="str">
        <f>_xlfn.CONCAT(I484,"_",RetailSales[[#This Row],[Product Category]])</f>
        <v>30_Clothing</v>
      </c>
    </row>
    <row r="485" spans="1:12">
      <c r="A485">
        <v>484</v>
      </c>
      <c r="B485">
        <v>44939</v>
      </c>
      <c r="C485" t="s">
        <v>512</v>
      </c>
      <c r="D485" t="s">
        <v>17</v>
      </c>
      <c r="E485">
        <v>19</v>
      </c>
      <c r="F485" t="s">
        <v>18</v>
      </c>
      <c r="G485">
        <v>4</v>
      </c>
      <c r="H485">
        <v>300</v>
      </c>
      <c r="I485">
        <f t="shared" si="14"/>
        <v>1200</v>
      </c>
      <c r="J485" s="4">
        <f t="shared" si="15"/>
        <v>18</v>
      </c>
      <c r="K485" t="str">
        <f>IF(RetailSales[[#This Row],[Age]]&lt;30,"Young Adult",IF(RetailSales[[#This Row],[Age]]&lt;50,"Adult","Senior"))</f>
        <v>Young Adult</v>
      </c>
      <c r="L485" t="str">
        <f>_xlfn.CONCAT(I485,"_",RetailSales[[#This Row],[Product Category]])</f>
        <v>1200_Clothing</v>
      </c>
    </row>
    <row r="486" spans="1:12">
      <c r="A486">
        <v>485</v>
      </c>
      <c r="B486">
        <v>45264</v>
      </c>
      <c r="C486" t="s">
        <v>513</v>
      </c>
      <c r="D486" t="s">
        <v>13</v>
      </c>
      <c r="E486">
        <v>24</v>
      </c>
      <c r="F486" t="s">
        <v>20</v>
      </c>
      <c r="G486">
        <v>1</v>
      </c>
      <c r="H486">
        <v>30</v>
      </c>
      <c r="I486">
        <f t="shared" si="14"/>
        <v>30</v>
      </c>
      <c r="J486" s="4">
        <f t="shared" si="15"/>
        <v>0.44999999999999996</v>
      </c>
      <c r="K486" t="str">
        <f>IF(RetailSales[[#This Row],[Age]]&lt;30,"Young Adult",IF(RetailSales[[#This Row],[Age]]&lt;50,"Adult","Senior"))</f>
        <v>Young Adult</v>
      </c>
      <c r="L486" t="str">
        <f>_xlfn.CONCAT(I486,"_",RetailSales[[#This Row],[Product Category]])</f>
        <v>30_Electronics</v>
      </c>
    </row>
    <row r="487" spans="1:12">
      <c r="A487">
        <v>486</v>
      </c>
      <c r="B487">
        <v>45025</v>
      </c>
      <c r="C487" t="s">
        <v>514</v>
      </c>
      <c r="D487" t="s">
        <v>17</v>
      </c>
      <c r="E487">
        <v>35</v>
      </c>
      <c r="F487" t="s">
        <v>20</v>
      </c>
      <c r="G487">
        <v>1</v>
      </c>
      <c r="H487">
        <v>25</v>
      </c>
      <c r="I487">
        <f t="shared" si="14"/>
        <v>25</v>
      </c>
      <c r="J487" s="4">
        <f t="shared" si="15"/>
        <v>0.375</v>
      </c>
      <c r="K487" t="str">
        <f>IF(RetailSales[[#This Row],[Age]]&lt;30,"Young Adult",IF(RetailSales[[#This Row],[Age]]&lt;50,"Adult","Senior"))</f>
        <v>Adult</v>
      </c>
      <c r="L487" t="str">
        <f>_xlfn.CONCAT(I487,"_",RetailSales[[#This Row],[Product Category]])</f>
        <v>25_Electronics</v>
      </c>
    </row>
    <row r="488" spans="1:12">
      <c r="A488">
        <v>487</v>
      </c>
      <c r="B488">
        <v>45131</v>
      </c>
      <c r="C488" t="s">
        <v>515</v>
      </c>
      <c r="D488" t="s">
        <v>13</v>
      </c>
      <c r="E488">
        <v>44</v>
      </c>
      <c r="F488" t="s">
        <v>18</v>
      </c>
      <c r="G488">
        <v>4</v>
      </c>
      <c r="H488">
        <v>500</v>
      </c>
      <c r="I488">
        <f t="shared" si="14"/>
        <v>2000</v>
      </c>
      <c r="J488" s="4">
        <f t="shared" si="15"/>
        <v>30</v>
      </c>
      <c r="K488" t="str">
        <f>IF(RetailSales[[#This Row],[Age]]&lt;30,"Young Adult",IF(RetailSales[[#This Row],[Age]]&lt;50,"Adult","Senior"))</f>
        <v>Adult</v>
      </c>
      <c r="L488" t="str">
        <f>_xlfn.CONCAT(I488,"_",RetailSales[[#This Row],[Product Category]])</f>
        <v>2000_Clothing</v>
      </c>
    </row>
    <row r="489" spans="1:12">
      <c r="A489">
        <v>488</v>
      </c>
      <c r="B489">
        <v>45095</v>
      </c>
      <c r="C489" t="s">
        <v>516</v>
      </c>
      <c r="D489" t="s">
        <v>17</v>
      </c>
      <c r="E489">
        <v>51</v>
      </c>
      <c r="F489" t="s">
        <v>20</v>
      </c>
      <c r="G489">
        <v>3</v>
      </c>
      <c r="H489">
        <v>300</v>
      </c>
      <c r="I489">
        <f t="shared" si="14"/>
        <v>900</v>
      </c>
      <c r="J489" s="4">
        <f t="shared" si="15"/>
        <v>13.5</v>
      </c>
      <c r="K489" t="str">
        <f>IF(RetailSales[[#This Row],[Age]]&lt;30,"Young Adult",IF(RetailSales[[#This Row],[Age]]&lt;50,"Adult","Senior"))</f>
        <v>Senior</v>
      </c>
      <c r="L489" t="str">
        <f>_xlfn.CONCAT(I489,"_",RetailSales[[#This Row],[Product Category]])</f>
        <v>900_Electronics</v>
      </c>
    </row>
    <row r="490" spans="1:12">
      <c r="A490">
        <v>489</v>
      </c>
      <c r="B490">
        <v>45069</v>
      </c>
      <c r="C490" t="s">
        <v>517</v>
      </c>
      <c r="D490" t="s">
        <v>13</v>
      </c>
      <c r="E490">
        <v>44</v>
      </c>
      <c r="F490" t="s">
        <v>20</v>
      </c>
      <c r="G490">
        <v>1</v>
      </c>
      <c r="H490">
        <v>30</v>
      </c>
      <c r="I490">
        <f t="shared" si="14"/>
        <v>30</v>
      </c>
      <c r="J490" s="4">
        <f t="shared" si="15"/>
        <v>0.44999999999999996</v>
      </c>
      <c r="K490" t="str">
        <f>IF(RetailSales[[#This Row],[Age]]&lt;30,"Young Adult",IF(RetailSales[[#This Row],[Age]]&lt;50,"Adult","Senior"))</f>
        <v>Adult</v>
      </c>
      <c r="L490" t="str">
        <f>_xlfn.CONCAT(I490,"_",RetailSales[[#This Row],[Product Category]])</f>
        <v>30_Electronics</v>
      </c>
    </row>
    <row r="491" spans="1:12">
      <c r="A491">
        <v>490</v>
      </c>
      <c r="B491">
        <v>44962</v>
      </c>
      <c r="C491" t="s">
        <v>518</v>
      </c>
      <c r="D491" t="s">
        <v>13</v>
      </c>
      <c r="E491">
        <v>34</v>
      </c>
      <c r="F491" t="s">
        <v>18</v>
      </c>
      <c r="G491">
        <v>3</v>
      </c>
      <c r="H491">
        <v>50</v>
      </c>
      <c r="I491">
        <f t="shared" si="14"/>
        <v>150</v>
      </c>
      <c r="J491" s="4">
        <f t="shared" si="15"/>
        <v>2.25</v>
      </c>
      <c r="K491" t="str">
        <f>IF(RetailSales[[#This Row],[Age]]&lt;30,"Young Adult",IF(RetailSales[[#This Row],[Age]]&lt;50,"Adult","Senior"))</f>
        <v>Adult</v>
      </c>
      <c r="L491" t="str">
        <f>_xlfn.CONCAT(I491,"_",RetailSales[[#This Row],[Product Category]])</f>
        <v>150_Clothing</v>
      </c>
    </row>
    <row r="492" spans="1:12">
      <c r="A492">
        <v>491</v>
      </c>
      <c r="B492">
        <v>45069</v>
      </c>
      <c r="C492" t="s">
        <v>519</v>
      </c>
      <c r="D492" t="s">
        <v>17</v>
      </c>
      <c r="E492">
        <v>60</v>
      </c>
      <c r="F492" t="s">
        <v>20</v>
      </c>
      <c r="G492">
        <v>3</v>
      </c>
      <c r="H492">
        <v>300</v>
      </c>
      <c r="I492">
        <f t="shared" si="14"/>
        <v>900</v>
      </c>
      <c r="J492" s="4">
        <f t="shared" si="15"/>
        <v>13.5</v>
      </c>
      <c r="K492" t="str">
        <f>IF(RetailSales[[#This Row],[Age]]&lt;30,"Young Adult",IF(RetailSales[[#This Row],[Age]]&lt;50,"Adult","Senior"))</f>
        <v>Senior</v>
      </c>
      <c r="L492" t="str">
        <f>_xlfn.CONCAT(I492,"_",RetailSales[[#This Row],[Product Category]])</f>
        <v>900_Electronics</v>
      </c>
    </row>
    <row r="493" spans="1:12">
      <c r="A493">
        <v>492</v>
      </c>
      <c r="B493">
        <v>45106</v>
      </c>
      <c r="C493" t="s">
        <v>520</v>
      </c>
      <c r="D493" t="s">
        <v>13</v>
      </c>
      <c r="E493">
        <v>61</v>
      </c>
      <c r="F493" t="s">
        <v>14</v>
      </c>
      <c r="G493">
        <v>4</v>
      </c>
      <c r="H493">
        <v>25</v>
      </c>
      <c r="I493">
        <f t="shared" si="14"/>
        <v>100</v>
      </c>
      <c r="J493" s="4">
        <f t="shared" si="15"/>
        <v>1.5</v>
      </c>
      <c r="K493" t="str">
        <f>IF(RetailSales[[#This Row],[Age]]&lt;30,"Young Adult",IF(RetailSales[[#This Row],[Age]]&lt;50,"Adult","Senior"))</f>
        <v>Senior</v>
      </c>
      <c r="L493" t="str">
        <f>_xlfn.CONCAT(I493,"_",RetailSales[[#This Row],[Product Category]])</f>
        <v>100_Beauty</v>
      </c>
    </row>
    <row r="494" spans="1:12">
      <c r="A494">
        <v>493</v>
      </c>
      <c r="B494">
        <v>45255</v>
      </c>
      <c r="C494" t="s">
        <v>521</v>
      </c>
      <c r="D494" t="s">
        <v>13</v>
      </c>
      <c r="E494">
        <v>41</v>
      </c>
      <c r="F494" t="s">
        <v>14</v>
      </c>
      <c r="G494">
        <v>2</v>
      </c>
      <c r="H494">
        <v>25</v>
      </c>
      <c r="I494">
        <f t="shared" si="14"/>
        <v>50</v>
      </c>
      <c r="J494" s="4">
        <f t="shared" si="15"/>
        <v>0.75</v>
      </c>
      <c r="K494" t="str">
        <f>IF(RetailSales[[#This Row],[Age]]&lt;30,"Young Adult",IF(RetailSales[[#This Row],[Age]]&lt;50,"Adult","Senior"))</f>
        <v>Adult</v>
      </c>
      <c r="L494" t="str">
        <f>_xlfn.CONCAT(I494,"_",RetailSales[[#This Row],[Product Category]])</f>
        <v>50_Beauty</v>
      </c>
    </row>
    <row r="495" spans="1:12">
      <c r="A495">
        <v>494</v>
      </c>
      <c r="B495">
        <v>45187</v>
      </c>
      <c r="C495" t="s">
        <v>522</v>
      </c>
      <c r="D495" t="s">
        <v>17</v>
      </c>
      <c r="E495">
        <v>42</v>
      </c>
      <c r="F495" t="s">
        <v>14</v>
      </c>
      <c r="G495">
        <v>4</v>
      </c>
      <c r="H495">
        <v>50</v>
      </c>
      <c r="I495">
        <f t="shared" si="14"/>
        <v>200</v>
      </c>
      <c r="J495" s="4">
        <f t="shared" si="15"/>
        <v>3</v>
      </c>
      <c r="K495" t="str">
        <f>IF(RetailSales[[#This Row],[Age]]&lt;30,"Young Adult",IF(RetailSales[[#This Row],[Age]]&lt;50,"Adult","Senior"))</f>
        <v>Adult</v>
      </c>
      <c r="L495" t="str">
        <f>_xlfn.CONCAT(I495,"_",RetailSales[[#This Row],[Product Category]])</f>
        <v>200_Beauty</v>
      </c>
    </row>
    <row r="496" spans="1:12">
      <c r="A496">
        <v>495</v>
      </c>
      <c r="B496">
        <v>45131</v>
      </c>
      <c r="C496" t="s">
        <v>523</v>
      </c>
      <c r="D496" t="s">
        <v>13</v>
      </c>
      <c r="E496">
        <v>24</v>
      </c>
      <c r="F496" t="s">
        <v>14</v>
      </c>
      <c r="G496">
        <v>2</v>
      </c>
      <c r="H496">
        <v>30</v>
      </c>
      <c r="I496">
        <f t="shared" si="14"/>
        <v>60</v>
      </c>
      <c r="J496" s="4">
        <f t="shared" si="15"/>
        <v>0.89999999999999991</v>
      </c>
      <c r="K496" t="str">
        <f>IF(RetailSales[[#This Row],[Age]]&lt;30,"Young Adult",IF(RetailSales[[#This Row],[Age]]&lt;50,"Adult","Senior"))</f>
        <v>Young Adult</v>
      </c>
      <c r="L496" t="str">
        <f>_xlfn.CONCAT(I496,"_",RetailSales[[#This Row],[Product Category]])</f>
        <v>60_Beauty</v>
      </c>
    </row>
    <row r="497" spans="1:12">
      <c r="A497">
        <v>496</v>
      </c>
      <c r="B497">
        <v>45274</v>
      </c>
      <c r="C497" t="s">
        <v>524</v>
      </c>
      <c r="D497" t="s">
        <v>13</v>
      </c>
      <c r="E497">
        <v>23</v>
      </c>
      <c r="F497" t="s">
        <v>18</v>
      </c>
      <c r="G497">
        <v>2</v>
      </c>
      <c r="H497">
        <v>300</v>
      </c>
      <c r="I497">
        <f t="shared" si="14"/>
        <v>600</v>
      </c>
      <c r="J497" s="4">
        <f t="shared" si="15"/>
        <v>9</v>
      </c>
      <c r="K497" t="str">
        <f>IF(RetailSales[[#This Row],[Age]]&lt;30,"Young Adult",IF(RetailSales[[#This Row],[Age]]&lt;50,"Adult","Senior"))</f>
        <v>Young Adult</v>
      </c>
      <c r="L497" t="str">
        <f>_xlfn.CONCAT(I497,"_",RetailSales[[#This Row],[Product Category]])</f>
        <v>600_Clothing</v>
      </c>
    </row>
    <row r="498" spans="1:12">
      <c r="A498">
        <v>497</v>
      </c>
      <c r="B498">
        <v>45201</v>
      </c>
      <c r="C498" t="s">
        <v>525</v>
      </c>
      <c r="D498" t="s">
        <v>13</v>
      </c>
      <c r="E498">
        <v>41</v>
      </c>
      <c r="F498" t="s">
        <v>18</v>
      </c>
      <c r="G498">
        <v>4</v>
      </c>
      <c r="H498">
        <v>30</v>
      </c>
      <c r="I498">
        <f t="shared" si="14"/>
        <v>120</v>
      </c>
      <c r="J498" s="4">
        <f t="shared" si="15"/>
        <v>1.7999999999999998</v>
      </c>
      <c r="K498" t="str">
        <f>IF(RetailSales[[#This Row],[Age]]&lt;30,"Young Adult",IF(RetailSales[[#This Row],[Age]]&lt;50,"Adult","Senior"))</f>
        <v>Adult</v>
      </c>
      <c r="L498" t="str">
        <f>_xlfn.CONCAT(I498,"_",RetailSales[[#This Row],[Product Category]])</f>
        <v>120_Clothing</v>
      </c>
    </row>
    <row r="499" spans="1:12">
      <c r="A499">
        <v>498</v>
      </c>
      <c r="B499">
        <v>45096</v>
      </c>
      <c r="C499" t="s">
        <v>526</v>
      </c>
      <c r="D499" t="s">
        <v>17</v>
      </c>
      <c r="E499">
        <v>50</v>
      </c>
      <c r="F499" t="s">
        <v>18</v>
      </c>
      <c r="G499">
        <v>4</v>
      </c>
      <c r="H499">
        <v>25</v>
      </c>
      <c r="I499">
        <f t="shared" si="14"/>
        <v>100</v>
      </c>
      <c r="J499" s="4">
        <f t="shared" si="15"/>
        <v>1.5</v>
      </c>
      <c r="K499" t="str">
        <f>IF(RetailSales[[#This Row],[Age]]&lt;30,"Young Adult",IF(RetailSales[[#This Row],[Age]]&lt;50,"Adult","Senior"))</f>
        <v>Senior</v>
      </c>
      <c r="L499" t="str">
        <f>_xlfn.CONCAT(I499,"_",RetailSales[[#This Row],[Product Category]])</f>
        <v>100_Clothing</v>
      </c>
    </row>
    <row r="500" spans="1:12">
      <c r="A500">
        <v>499</v>
      </c>
      <c r="B500">
        <v>44941</v>
      </c>
      <c r="C500" t="s">
        <v>527</v>
      </c>
      <c r="D500" t="s">
        <v>13</v>
      </c>
      <c r="E500">
        <v>46</v>
      </c>
      <c r="F500" t="s">
        <v>14</v>
      </c>
      <c r="G500">
        <v>2</v>
      </c>
      <c r="H500">
        <v>30</v>
      </c>
      <c r="I500">
        <f t="shared" si="14"/>
        <v>60</v>
      </c>
      <c r="J500" s="4">
        <f t="shared" si="15"/>
        <v>0.89999999999999991</v>
      </c>
      <c r="K500" t="str">
        <f>IF(RetailSales[[#This Row],[Age]]&lt;30,"Young Adult",IF(RetailSales[[#This Row],[Age]]&lt;50,"Adult","Senior"))</f>
        <v>Adult</v>
      </c>
      <c r="L500" t="str">
        <f>_xlfn.CONCAT(I500,"_",RetailSales[[#This Row],[Product Category]])</f>
        <v>60_Beauty</v>
      </c>
    </row>
    <row r="501" spans="1:12">
      <c r="A501">
        <v>500</v>
      </c>
      <c r="B501">
        <v>44986</v>
      </c>
      <c r="C501" t="s">
        <v>528</v>
      </c>
      <c r="D501" t="s">
        <v>17</v>
      </c>
      <c r="E501">
        <v>60</v>
      </c>
      <c r="F501" t="s">
        <v>14</v>
      </c>
      <c r="G501">
        <v>4</v>
      </c>
      <c r="H501">
        <v>25</v>
      </c>
      <c r="I501">
        <f t="shared" si="14"/>
        <v>100</v>
      </c>
      <c r="J501" s="4">
        <f t="shared" si="15"/>
        <v>1.5</v>
      </c>
      <c r="K501" t="str">
        <f>IF(RetailSales[[#This Row],[Age]]&lt;30,"Young Adult",IF(RetailSales[[#This Row],[Age]]&lt;50,"Adult","Senior"))</f>
        <v>Senior</v>
      </c>
      <c r="L501" t="str">
        <f>_xlfn.CONCAT(I501,"_",RetailSales[[#This Row],[Product Category]])</f>
        <v>100_Beauty</v>
      </c>
    </row>
    <row r="502" spans="1:12">
      <c r="A502">
        <v>501</v>
      </c>
      <c r="B502">
        <v>45060</v>
      </c>
      <c r="C502" t="s">
        <v>529</v>
      </c>
      <c r="D502" t="s">
        <v>13</v>
      </c>
      <c r="E502">
        <v>39</v>
      </c>
      <c r="F502" t="s">
        <v>20</v>
      </c>
      <c r="G502">
        <v>2</v>
      </c>
      <c r="H502">
        <v>30</v>
      </c>
      <c r="I502">
        <f t="shared" si="14"/>
        <v>60</v>
      </c>
      <c r="J502" s="4">
        <f t="shared" si="15"/>
        <v>0.89999999999999991</v>
      </c>
      <c r="K502" t="str">
        <f>IF(RetailSales[[#This Row],[Age]]&lt;30,"Young Adult",IF(RetailSales[[#This Row],[Age]]&lt;50,"Adult","Senior"))</f>
        <v>Adult</v>
      </c>
      <c r="L502" t="str">
        <f>_xlfn.CONCAT(I502,"_",RetailSales[[#This Row],[Product Category]])</f>
        <v>60_Electronics</v>
      </c>
    </row>
    <row r="503" spans="1:12">
      <c r="A503">
        <v>502</v>
      </c>
      <c r="B503">
        <v>45018</v>
      </c>
      <c r="C503" t="s">
        <v>530</v>
      </c>
      <c r="D503" t="s">
        <v>13</v>
      </c>
      <c r="E503">
        <v>43</v>
      </c>
      <c r="F503" t="s">
        <v>20</v>
      </c>
      <c r="G503">
        <v>3</v>
      </c>
      <c r="H503">
        <v>50</v>
      </c>
      <c r="I503">
        <f t="shared" si="14"/>
        <v>150</v>
      </c>
      <c r="J503" s="4">
        <f t="shared" si="15"/>
        <v>2.25</v>
      </c>
      <c r="K503" t="str">
        <f>IF(RetailSales[[#This Row],[Age]]&lt;30,"Young Adult",IF(RetailSales[[#This Row],[Age]]&lt;50,"Adult","Senior"))</f>
        <v>Adult</v>
      </c>
      <c r="L503" t="str">
        <f>_xlfn.CONCAT(I503,"_",RetailSales[[#This Row],[Product Category]])</f>
        <v>150_Electronics</v>
      </c>
    </row>
    <row r="504" spans="1:12">
      <c r="A504">
        <v>503</v>
      </c>
      <c r="B504">
        <v>45224</v>
      </c>
      <c r="C504" t="s">
        <v>531</v>
      </c>
      <c r="D504" t="s">
        <v>13</v>
      </c>
      <c r="E504">
        <v>45</v>
      </c>
      <c r="F504" t="s">
        <v>14</v>
      </c>
      <c r="G504">
        <v>4</v>
      </c>
      <c r="H504">
        <v>500</v>
      </c>
      <c r="I504">
        <f t="shared" si="14"/>
        <v>2000</v>
      </c>
      <c r="J504" s="4">
        <f t="shared" si="15"/>
        <v>30</v>
      </c>
      <c r="K504" t="str">
        <f>IF(RetailSales[[#This Row],[Age]]&lt;30,"Young Adult",IF(RetailSales[[#This Row],[Age]]&lt;50,"Adult","Senior"))</f>
        <v>Adult</v>
      </c>
      <c r="L504" t="str">
        <f>_xlfn.CONCAT(I504,"_",RetailSales[[#This Row],[Product Category]])</f>
        <v>2000_Beauty</v>
      </c>
    </row>
    <row r="505" spans="1:12">
      <c r="A505">
        <v>504</v>
      </c>
      <c r="B505">
        <v>45062</v>
      </c>
      <c r="C505" t="s">
        <v>532</v>
      </c>
      <c r="D505" t="s">
        <v>17</v>
      </c>
      <c r="E505">
        <v>38</v>
      </c>
      <c r="F505" t="s">
        <v>14</v>
      </c>
      <c r="G505">
        <v>3</v>
      </c>
      <c r="H505">
        <v>50</v>
      </c>
      <c r="I505">
        <f t="shared" si="14"/>
        <v>150</v>
      </c>
      <c r="J505" s="4">
        <f t="shared" si="15"/>
        <v>2.25</v>
      </c>
      <c r="K505" t="str">
        <f>IF(RetailSales[[#This Row],[Age]]&lt;30,"Young Adult",IF(RetailSales[[#This Row],[Age]]&lt;50,"Adult","Senior"))</f>
        <v>Adult</v>
      </c>
      <c r="L505" t="str">
        <f>_xlfn.CONCAT(I505,"_",RetailSales[[#This Row],[Product Category]])</f>
        <v>150_Beauty</v>
      </c>
    </row>
    <row r="506" spans="1:12">
      <c r="A506">
        <v>505</v>
      </c>
      <c r="B506">
        <v>44946</v>
      </c>
      <c r="C506" t="s">
        <v>533</v>
      </c>
      <c r="D506" t="s">
        <v>13</v>
      </c>
      <c r="E506">
        <v>24</v>
      </c>
      <c r="F506" t="s">
        <v>14</v>
      </c>
      <c r="G506">
        <v>1</v>
      </c>
      <c r="H506">
        <v>50</v>
      </c>
      <c r="I506">
        <f t="shared" si="14"/>
        <v>50</v>
      </c>
      <c r="J506" s="4">
        <f t="shared" si="15"/>
        <v>0.75</v>
      </c>
      <c r="K506" t="str">
        <f>IF(RetailSales[[#This Row],[Age]]&lt;30,"Young Adult",IF(RetailSales[[#This Row],[Age]]&lt;50,"Adult","Senior"))</f>
        <v>Young Adult</v>
      </c>
      <c r="L506" t="str">
        <f>_xlfn.CONCAT(I506,"_",RetailSales[[#This Row],[Product Category]])</f>
        <v>50_Beauty</v>
      </c>
    </row>
    <row r="507" spans="1:12">
      <c r="A507">
        <v>506</v>
      </c>
      <c r="B507">
        <v>44982</v>
      </c>
      <c r="C507" t="s">
        <v>534</v>
      </c>
      <c r="D507" t="s">
        <v>13</v>
      </c>
      <c r="E507">
        <v>34</v>
      </c>
      <c r="F507" t="s">
        <v>14</v>
      </c>
      <c r="G507">
        <v>3</v>
      </c>
      <c r="H507">
        <v>500</v>
      </c>
      <c r="I507">
        <f t="shared" si="14"/>
        <v>1500</v>
      </c>
      <c r="J507" s="4">
        <f t="shared" si="15"/>
        <v>22.5</v>
      </c>
      <c r="K507" t="str">
        <f>IF(RetailSales[[#This Row],[Age]]&lt;30,"Young Adult",IF(RetailSales[[#This Row],[Age]]&lt;50,"Adult","Senior"))</f>
        <v>Adult</v>
      </c>
      <c r="L507" t="str">
        <f>_xlfn.CONCAT(I507,"_",RetailSales[[#This Row],[Product Category]])</f>
        <v>1500_Beauty</v>
      </c>
    </row>
    <row r="508" spans="1:12">
      <c r="A508">
        <v>507</v>
      </c>
      <c r="B508">
        <v>45232</v>
      </c>
      <c r="C508" t="s">
        <v>535</v>
      </c>
      <c r="D508" t="s">
        <v>17</v>
      </c>
      <c r="E508">
        <v>37</v>
      </c>
      <c r="F508" t="s">
        <v>20</v>
      </c>
      <c r="G508">
        <v>3</v>
      </c>
      <c r="H508">
        <v>500</v>
      </c>
      <c r="I508">
        <f t="shared" si="14"/>
        <v>1500</v>
      </c>
      <c r="J508" s="4">
        <f t="shared" si="15"/>
        <v>22.5</v>
      </c>
      <c r="K508" t="str">
        <f>IF(RetailSales[[#This Row],[Age]]&lt;30,"Young Adult",IF(RetailSales[[#This Row],[Age]]&lt;50,"Adult","Senior"))</f>
        <v>Adult</v>
      </c>
      <c r="L508" t="str">
        <f>_xlfn.CONCAT(I508,"_",RetailSales[[#This Row],[Product Category]])</f>
        <v>1500_Electronics</v>
      </c>
    </row>
    <row r="509" spans="1:12">
      <c r="A509">
        <v>508</v>
      </c>
      <c r="B509">
        <v>45149</v>
      </c>
      <c r="C509" t="s">
        <v>536</v>
      </c>
      <c r="D509" t="s">
        <v>13</v>
      </c>
      <c r="E509">
        <v>58</v>
      </c>
      <c r="F509" t="s">
        <v>14</v>
      </c>
      <c r="G509">
        <v>2</v>
      </c>
      <c r="H509">
        <v>300</v>
      </c>
      <c r="I509">
        <f t="shared" si="14"/>
        <v>600</v>
      </c>
      <c r="J509" s="4">
        <f t="shared" si="15"/>
        <v>9</v>
      </c>
      <c r="K509" t="str">
        <f>IF(RetailSales[[#This Row],[Age]]&lt;30,"Young Adult",IF(RetailSales[[#This Row],[Age]]&lt;50,"Adult","Senior"))</f>
        <v>Senior</v>
      </c>
      <c r="L509" t="str">
        <f>_xlfn.CONCAT(I509,"_",RetailSales[[#This Row],[Product Category]])</f>
        <v>600_Beauty</v>
      </c>
    </row>
    <row r="510" spans="1:12">
      <c r="A510">
        <v>509</v>
      </c>
      <c r="B510">
        <v>45103</v>
      </c>
      <c r="C510" t="s">
        <v>537</v>
      </c>
      <c r="D510" t="s">
        <v>17</v>
      </c>
      <c r="E510">
        <v>37</v>
      </c>
      <c r="F510" t="s">
        <v>20</v>
      </c>
      <c r="G510">
        <v>3</v>
      </c>
      <c r="H510">
        <v>300</v>
      </c>
      <c r="I510">
        <f t="shared" si="14"/>
        <v>900</v>
      </c>
      <c r="J510" s="4">
        <f t="shared" si="15"/>
        <v>13.5</v>
      </c>
      <c r="K510" t="str">
        <f>IF(RetailSales[[#This Row],[Age]]&lt;30,"Young Adult",IF(RetailSales[[#This Row],[Age]]&lt;50,"Adult","Senior"))</f>
        <v>Adult</v>
      </c>
      <c r="L510" t="str">
        <f>_xlfn.CONCAT(I510,"_",RetailSales[[#This Row],[Product Category]])</f>
        <v>900_Electronics</v>
      </c>
    </row>
    <row r="511" spans="1:12">
      <c r="A511">
        <v>510</v>
      </c>
      <c r="B511">
        <v>45087</v>
      </c>
      <c r="C511" t="s">
        <v>538</v>
      </c>
      <c r="D511" t="s">
        <v>17</v>
      </c>
      <c r="E511">
        <v>39</v>
      </c>
      <c r="F511" t="s">
        <v>14</v>
      </c>
      <c r="G511">
        <v>4</v>
      </c>
      <c r="H511">
        <v>50</v>
      </c>
      <c r="I511">
        <f t="shared" si="14"/>
        <v>200</v>
      </c>
      <c r="J511" s="4">
        <f t="shared" si="15"/>
        <v>3</v>
      </c>
      <c r="K511" t="str">
        <f>IF(RetailSales[[#This Row],[Age]]&lt;30,"Young Adult",IF(RetailSales[[#This Row],[Age]]&lt;50,"Adult","Senior"))</f>
        <v>Adult</v>
      </c>
      <c r="L511" t="str">
        <f>_xlfn.CONCAT(I511,"_",RetailSales[[#This Row],[Product Category]])</f>
        <v>200_Beauty</v>
      </c>
    </row>
    <row r="512" spans="1:12">
      <c r="A512">
        <v>511</v>
      </c>
      <c r="B512">
        <v>45150</v>
      </c>
      <c r="C512" t="s">
        <v>539</v>
      </c>
      <c r="D512" t="s">
        <v>13</v>
      </c>
      <c r="E512">
        <v>45</v>
      </c>
      <c r="F512" t="s">
        <v>14</v>
      </c>
      <c r="G512">
        <v>2</v>
      </c>
      <c r="H512">
        <v>50</v>
      </c>
      <c r="I512">
        <f t="shared" si="14"/>
        <v>100</v>
      </c>
      <c r="J512" s="4">
        <f t="shared" si="15"/>
        <v>1.5</v>
      </c>
      <c r="K512" t="str">
        <f>IF(RetailSales[[#This Row],[Age]]&lt;30,"Young Adult",IF(RetailSales[[#This Row],[Age]]&lt;50,"Adult","Senior"))</f>
        <v>Adult</v>
      </c>
      <c r="L512" t="str">
        <f>_xlfn.CONCAT(I512,"_",RetailSales[[#This Row],[Product Category]])</f>
        <v>100_Beauty</v>
      </c>
    </row>
    <row r="513" spans="1:12">
      <c r="A513">
        <v>512</v>
      </c>
      <c r="B513">
        <v>45237</v>
      </c>
      <c r="C513" t="s">
        <v>540</v>
      </c>
      <c r="D513" t="s">
        <v>17</v>
      </c>
      <c r="E513">
        <v>57</v>
      </c>
      <c r="F513" t="s">
        <v>14</v>
      </c>
      <c r="G513">
        <v>1</v>
      </c>
      <c r="H513">
        <v>25</v>
      </c>
      <c r="I513">
        <f t="shared" si="14"/>
        <v>25</v>
      </c>
      <c r="J513" s="4">
        <f t="shared" si="15"/>
        <v>0.375</v>
      </c>
      <c r="K513" t="str">
        <f>IF(RetailSales[[#This Row],[Age]]&lt;30,"Young Adult",IF(RetailSales[[#This Row],[Age]]&lt;50,"Adult","Senior"))</f>
        <v>Senior</v>
      </c>
      <c r="L513" t="str">
        <f>_xlfn.CONCAT(I513,"_",RetailSales[[#This Row],[Product Category]])</f>
        <v>25_Beauty</v>
      </c>
    </row>
    <row r="514" spans="1:12">
      <c r="A514">
        <v>513</v>
      </c>
      <c r="B514">
        <v>45188</v>
      </c>
      <c r="C514" t="s">
        <v>541</v>
      </c>
      <c r="D514" t="s">
        <v>13</v>
      </c>
      <c r="E514">
        <v>24</v>
      </c>
      <c r="F514" t="s">
        <v>20</v>
      </c>
      <c r="G514">
        <v>4</v>
      </c>
      <c r="H514">
        <v>25</v>
      </c>
      <c r="I514">
        <f t="shared" si="14"/>
        <v>100</v>
      </c>
      <c r="J514" s="4">
        <f t="shared" si="15"/>
        <v>1.5</v>
      </c>
      <c r="K514" t="str">
        <f>IF(RetailSales[[#This Row],[Age]]&lt;30,"Young Adult",IF(RetailSales[[#This Row],[Age]]&lt;50,"Adult","Senior"))</f>
        <v>Young Adult</v>
      </c>
      <c r="L514" t="str">
        <f>_xlfn.CONCAT(I514,"_",RetailSales[[#This Row],[Product Category]])</f>
        <v>100_Electronics</v>
      </c>
    </row>
    <row r="515" spans="1:12">
      <c r="A515">
        <v>514</v>
      </c>
      <c r="B515">
        <v>44986</v>
      </c>
      <c r="C515" t="s">
        <v>542</v>
      </c>
      <c r="D515" t="s">
        <v>17</v>
      </c>
      <c r="E515">
        <v>18</v>
      </c>
      <c r="F515" t="s">
        <v>20</v>
      </c>
      <c r="G515">
        <v>1</v>
      </c>
      <c r="H515">
        <v>300</v>
      </c>
      <c r="I515">
        <f t="shared" ref="I515:I578" si="16">G515*H515</f>
        <v>300</v>
      </c>
      <c r="J515" s="4">
        <f t="shared" ref="J515:J578" si="17">I515*$O$3</f>
        <v>4.5</v>
      </c>
      <c r="K515" t="str">
        <f>IF(RetailSales[[#This Row],[Age]]&lt;30,"Young Adult",IF(RetailSales[[#This Row],[Age]]&lt;50,"Adult","Senior"))</f>
        <v>Young Adult</v>
      </c>
      <c r="L515" t="str">
        <f>_xlfn.CONCAT(I515,"_",RetailSales[[#This Row],[Product Category]])</f>
        <v>300_Electronics</v>
      </c>
    </row>
    <row r="516" spans="1:12">
      <c r="A516">
        <v>515</v>
      </c>
      <c r="B516">
        <v>45124</v>
      </c>
      <c r="C516" t="s">
        <v>543</v>
      </c>
      <c r="D516" t="s">
        <v>17</v>
      </c>
      <c r="E516">
        <v>49</v>
      </c>
      <c r="F516" t="s">
        <v>18</v>
      </c>
      <c r="G516">
        <v>3</v>
      </c>
      <c r="H516">
        <v>300</v>
      </c>
      <c r="I516">
        <f t="shared" si="16"/>
        <v>900</v>
      </c>
      <c r="J516" s="4">
        <f t="shared" si="17"/>
        <v>13.5</v>
      </c>
      <c r="K516" t="str">
        <f>IF(RetailSales[[#This Row],[Age]]&lt;30,"Young Adult",IF(RetailSales[[#This Row],[Age]]&lt;50,"Adult","Senior"))</f>
        <v>Adult</v>
      </c>
      <c r="L516" t="str">
        <f>_xlfn.CONCAT(I516,"_",RetailSales[[#This Row],[Product Category]])</f>
        <v>900_Clothing</v>
      </c>
    </row>
    <row r="517" spans="1:12">
      <c r="A517">
        <v>516</v>
      </c>
      <c r="B517">
        <v>45222</v>
      </c>
      <c r="C517" t="s">
        <v>544</v>
      </c>
      <c r="D517" t="s">
        <v>13</v>
      </c>
      <c r="E517">
        <v>30</v>
      </c>
      <c r="F517" t="s">
        <v>14</v>
      </c>
      <c r="G517">
        <v>4</v>
      </c>
      <c r="H517">
        <v>25</v>
      </c>
      <c r="I517">
        <f t="shared" si="16"/>
        <v>100</v>
      </c>
      <c r="J517" s="4">
        <f t="shared" si="17"/>
        <v>1.5</v>
      </c>
      <c r="K517" t="str">
        <f>IF(RetailSales[[#This Row],[Age]]&lt;30,"Young Adult",IF(RetailSales[[#This Row],[Age]]&lt;50,"Adult","Senior"))</f>
        <v>Adult</v>
      </c>
      <c r="L517" t="str">
        <f>_xlfn.CONCAT(I517,"_",RetailSales[[#This Row],[Product Category]])</f>
        <v>100_Beauty</v>
      </c>
    </row>
    <row r="518" spans="1:12">
      <c r="A518">
        <v>517</v>
      </c>
      <c r="B518">
        <v>45024</v>
      </c>
      <c r="C518" t="s">
        <v>545</v>
      </c>
      <c r="D518" t="s">
        <v>17</v>
      </c>
      <c r="E518">
        <v>47</v>
      </c>
      <c r="F518" t="s">
        <v>18</v>
      </c>
      <c r="G518">
        <v>4</v>
      </c>
      <c r="H518">
        <v>25</v>
      </c>
      <c r="I518">
        <f t="shared" si="16"/>
        <v>100</v>
      </c>
      <c r="J518" s="4">
        <f t="shared" si="17"/>
        <v>1.5</v>
      </c>
      <c r="K518" t="str">
        <f>IF(RetailSales[[#This Row],[Age]]&lt;30,"Young Adult",IF(RetailSales[[#This Row],[Age]]&lt;50,"Adult","Senior"))</f>
        <v>Adult</v>
      </c>
      <c r="L518" t="str">
        <f>_xlfn.CONCAT(I518,"_",RetailSales[[#This Row],[Product Category]])</f>
        <v>100_Clothing</v>
      </c>
    </row>
    <row r="519" spans="1:12">
      <c r="A519">
        <v>518</v>
      </c>
      <c r="B519">
        <v>45057</v>
      </c>
      <c r="C519" t="s">
        <v>546</v>
      </c>
      <c r="D519" t="s">
        <v>17</v>
      </c>
      <c r="E519">
        <v>40</v>
      </c>
      <c r="F519" t="s">
        <v>18</v>
      </c>
      <c r="G519">
        <v>1</v>
      </c>
      <c r="H519">
        <v>30</v>
      </c>
      <c r="I519">
        <f t="shared" si="16"/>
        <v>30</v>
      </c>
      <c r="J519" s="4">
        <f t="shared" si="17"/>
        <v>0.44999999999999996</v>
      </c>
      <c r="K519" t="str">
        <f>IF(RetailSales[[#This Row],[Age]]&lt;30,"Young Adult",IF(RetailSales[[#This Row],[Age]]&lt;50,"Adult","Senior"))</f>
        <v>Adult</v>
      </c>
      <c r="L519" t="str">
        <f>_xlfn.CONCAT(I519,"_",RetailSales[[#This Row],[Product Category]])</f>
        <v>30_Clothing</v>
      </c>
    </row>
    <row r="520" spans="1:12">
      <c r="A520">
        <v>519</v>
      </c>
      <c r="B520">
        <v>44949</v>
      </c>
      <c r="C520" t="s">
        <v>547</v>
      </c>
      <c r="D520" t="s">
        <v>17</v>
      </c>
      <c r="E520">
        <v>36</v>
      </c>
      <c r="F520" t="s">
        <v>20</v>
      </c>
      <c r="G520">
        <v>4</v>
      </c>
      <c r="H520">
        <v>30</v>
      </c>
      <c r="I520">
        <f t="shared" si="16"/>
        <v>120</v>
      </c>
      <c r="J520" s="4">
        <f t="shared" si="17"/>
        <v>1.7999999999999998</v>
      </c>
      <c r="K520" t="str">
        <f>IF(RetailSales[[#This Row],[Age]]&lt;30,"Young Adult",IF(RetailSales[[#This Row],[Age]]&lt;50,"Adult","Senior"))</f>
        <v>Adult</v>
      </c>
      <c r="L520" t="str">
        <f>_xlfn.CONCAT(I520,"_",RetailSales[[#This Row],[Product Category]])</f>
        <v>120_Electronics</v>
      </c>
    </row>
    <row r="521" spans="1:12">
      <c r="A521">
        <v>520</v>
      </c>
      <c r="B521">
        <v>45289</v>
      </c>
      <c r="C521" t="s">
        <v>548</v>
      </c>
      <c r="D521" t="s">
        <v>17</v>
      </c>
      <c r="E521">
        <v>49</v>
      </c>
      <c r="F521" t="s">
        <v>20</v>
      </c>
      <c r="G521">
        <v>4</v>
      </c>
      <c r="H521">
        <v>25</v>
      </c>
      <c r="I521">
        <f t="shared" si="16"/>
        <v>100</v>
      </c>
      <c r="J521" s="4">
        <f t="shared" si="17"/>
        <v>1.5</v>
      </c>
      <c r="K521" t="str">
        <f>IF(RetailSales[[#This Row],[Age]]&lt;30,"Young Adult",IF(RetailSales[[#This Row],[Age]]&lt;50,"Adult","Senior"))</f>
        <v>Adult</v>
      </c>
      <c r="L521" t="str">
        <f>_xlfn.CONCAT(I521,"_",RetailSales[[#This Row],[Product Category]])</f>
        <v>100_Electronics</v>
      </c>
    </row>
    <row r="522" spans="1:12">
      <c r="A522">
        <v>521</v>
      </c>
      <c r="B522">
        <v>45150</v>
      </c>
      <c r="C522" t="s">
        <v>549</v>
      </c>
      <c r="D522" t="s">
        <v>17</v>
      </c>
      <c r="E522">
        <v>47</v>
      </c>
      <c r="F522" t="s">
        <v>18</v>
      </c>
      <c r="G522">
        <v>4</v>
      </c>
      <c r="H522">
        <v>30</v>
      </c>
      <c r="I522">
        <f t="shared" si="16"/>
        <v>120</v>
      </c>
      <c r="J522" s="4">
        <f t="shared" si="17"/>
        <v>1.7999999999999998</v>
      </c>
      <c r="K522" t="str">
        <f>IF(RetailSales[[#This Row],[Age]]&lt;30,"Young Adult",IF(RetailSales[[#This Row],[Age]]&lt;50,"Adult","Senior"))</f>
        <v>Adult</v>
      </c>
      <c r="L522" t="str">
        <f>_xlfn.CONCAT(I522,"_",RetailSales[[#This Row],[Product Category]])</f>
        <v>120_Clothing</v>
      </c>
    </row>
    <row r="523" spans="1:12">
      <c r="A523">
        <v>522</v>
      </c>
      <c r="B523">
        <v>44927</v>
      </c>
      <c r="C523" t="s">
        <v>550</v>
      </c>
      <c r="D523" t="s">
        <v>13</v>
      </c>
      <c r="E523">
        <v>46</v>
      </c>
      <c r="F523" t="s">
        <v>14</v>
      </c>
      <c r="G523">
        <v>3</v>
      </c>
      <c r="H523">
        <v>500</v>
      </c>
      <c r="I523">
        <f t="shared" si="16"/>
        <v>1500</v>
      </c>
      <c r="J523" s="4">
        <f t="shared" si="17"/>
        <v>22.5</v>
      </c>
      <c r="K523" t="str">
        <f>IF(RetailSales[[#This Row],[Age]]&lt;30,"Young Adult",IF(RetailSales[[#This Row],[Age]]&lt;50,"Adult","Senior"))</f>
        <v>Adult</v>
      </c>
      <c r="L523" t="str">
        <f>_xlfn.CONCAT(I523,"_",RetailSales[[#This Row],[Product Category]])</f>
        <v>1500_Beauty</v>
      </c>
    </row>
    <row r="524" spans="1:12">
      <c r="A524">
        <v>523</v>
      </c>
      <c r="B524">
        <v>45193</v>
      </c>
      <c r="C524" t="s">
        <v>551</v>
      </c>
      <c r="D524" t="s">
        <v>17</v>
      </c>
      <c r="E524">
        <v>62</v>
      </c>
      <c r="F524" t="s">
        <v>20</v>
      </c>
      <c r="G524">
        <v>1</v>
      </c>
      <c r="H524">
        <v>300</v>
      </c>
      <c r="I524">
        <f t="shared" si="16"/>
        <v>300</v>
      </c>
      <c r="J524" s="4">
        <f t="shared" si="17"/>
        <v>4.5</v>
      </c>
      <c r="K524" t="str">
        <f>IF(RetailSales[[#This Row],[Age]]&lt;30,"Young Adult",IF(RetailSales[[#This Row],[Age]]&lt;50,"Adult","Senior"))</f>
        <v>Senior</v>
      </c>
      <c r="L524" t="str">
        <f>_xlfn.CONCAT(I524,"_",RetailSales[[#This Row],[Product Category]])</f>
        <v>300_Electronics</v>
      </c>
    </row>
    <row r="525" spans="1:12">
      <c r="A525">
        <v>524</v>
      </c>
      <c r="B525">
        <v>45202</v>
      </c>
      <c r="C525" t="s">
        <v>552</v>
      </c>
      <c r="D525" t="s">
        <v>13</v>
      </c>
      <c r="E525">
        <v>46</v>
      </c>
      <c r="F525" t="s">
        <v>14</v>
      </c>
      <c r="G525">
        <v>4</v>
      </c>
      <c r="H525">
        <v>300</v>
      </c>
      <c r="I525">
        <f t="shared" si="16"/>
        <v>1200</v>
      </c>
      <c r="J525" s="4">
        <f t="shared" si="17"/>
        <v>18</v>
      </c>
      <c r="K525" t="str">
        <f>IF(RetailSales[[#This Row],[Age]]&lt;30,"Young Adult",IF(RetailSales[[#This Row],[Age]]&lt;50,"Adult","Senior"))</f>
        <v>Adult</v>
      </c>
      <c r="L525" t="str">
        <f>_xlfn.CONCAT(I525,"_",RetailSales[[#This Row],[Product Category]])</f>
        <v>1200_Beauty</v>
      </c>
    </row>
    <row r="526" spans="1:12">
      <c r="A526">
        <v>525</v>
      </c>
      <c r="B526">
        <v>45278</v>
      </c>
      <c r="C526" t="s">
        <v>553</v>
      </c>
      <c r="D526" t="s">
        <v>17</v>
      </c>
      <c r="E526">
        <v>47</v>
      </c>
      <c r="F526" t="s">
        <v>14</v>
      </c>
      <c r="G526">
        <v>2</v>
      </c>
      <c r="H526">
        <v>25</v>
      </c>
      <c r="I526">
        <f t="shared" si="16"/>
        <v>50</v>
      </c>
      <c r="J526" s="4">
        <f t="shared" si="17"/>
        <v>0.75</v>
      </c>
      <c r="K526" t="str">
        <f>IF(RetailSales[[#This Row],[Age]]&lt;30,"Young Adult",IF(RetailSales[[#This Row],[Age]]&lt;50,"Adult","Senior"))</f>
        <v>Adult</v>
      </c>
      <c r="L526" t="str">
        <f>_xlfn.CONCAT(I526,"_",RetailSales[[#This Row],[Product Category]])</f>
        <v>50_Beauty</v>
      </c>
    </row>
    <row r="527" spans="1:12">
      <c r="A527">
        <v>526</v>
      </c>
      <c r="B527">
        <v>45270</v>
      </c>
      <c r="C527" t="s">
        <v>554</v>
      </c>
      <c r="D527" t="s">
        <v>13</v>
      </c>
      <c r="E527">
        <v>33</v>
      </c>
      <c r="F527" t="s">
        <v>18</v>
      </c>
      <c r="G527">
        <v>2</v>
      </c>
      <c r="H527">
        <v>50</v>
      </c>
      <c r="I527">
        <f t="shared" si="16"/>
        <v>100</v>
      </c>
      <c r="J527" s="4">
        <f t="shared" si="17"/>
        <v>1.5</v>
      </c>
      <c r="K527" t="str">
        <f>IF(RetailSales[[#This Row],[Age]]&lt;30,"Young Adult",IF(RetailSales[[#This Row],[Age]]&lt;50,"Adult","Senior"))</f>
        <v>Adult</v>
      </c>
      <c r="L527" t="str">
        <f>_xlfn.CONCAT(I527,"_",RetailSales[[#This Row],[Product Category]])</f>
        <v>100_Clothing</v>
      </c>
    </row>
    <row r="528" spans="1:12">
      <c r="A528">
        <v>527</v>
      </c>
      <c r="B528">
        <v>45027</v>
      </c>
      <c r="C528" t="s">
        <v>555</v>
      </c>
      <c r="D528" t="s">
        <v>13</v>
      </c>
      <c r="E528">
        <v>57</v>
      </c>
      <c r="F528" t="s">
        <v>18</v>
      </c>
      <c r="G528">
        <v>2</v>
      </c>
      <c r="H528">
        <v>25</v>
      </c>
      <c r="I528">
        <f t="shared" si="16"/>
        <v>50</v>
      </c>
      <c r="J528" s="4">
        <f t="shared" si="17"/>
        <v>0.75</v>
      </c>
      <c r="K528" t="str">
        <f>IF(RetailSales[[#This Row],[Age]]&lt;30,"Young Adult",IF(RetailSales[[#This Row],[Age]]&lt;50,"Adult","Senior"))</f>
        <v>Senior</v>
      </c>
      <c r="L528" t="str">
        <f>_xlfn.CONCAT(I528,"_",RetailSales[[#This Row],[Product Category]])</f>
        <v>50_Clothing</v>
      </c>
    </row>
    <row r="529" spans="1:12">
      <c r="A529">
        <v>528</v>
      </c>
      <c r="B529">
        <v>45113</v>
      </c>
      <c r="C529" t="s">
        <v>556</v>
      </c>
      <c r="D529" t="s">
        <v>17</v>
      </c>
      <c r="E529">
        <v>36</v>
      </c>
      <c r="F529" t="s">
        <v>18</v>
      </c>
      <c r="G529">
        <v>2</v>
      </c>
      <c r="H529">
        <v>30</v>
      </c>
      <c r="I529">
        <f t="shared" si="16"/>
        <v>60</v>
      </c>
      <c r="J529" s="4">
        <f t="shared" si="17"/>
        <v>0.89999999999999991</v>
      </c>
      <c r="K529" t="str">
        <f>IF(RetailSales[[#This Row],[Age]]&lt;30,"Young Adult",IF(RetailSales[[#This Row],[Age]]&lt;50,"Adult","Senior"))</f>
        <v>Adult</v>
      </c>
      <c r="L529" t="str">
        <f>_xlfn.CONCAT(I529,"_",RetailSales[[#This Row],[Product Category]])</f>
        <v>60_Clothing</v>
      </c>
    </row>
    <row r="530" spans="1:12">
      <c r="A530">
        <v>529</v>
      </c>
      <c r="B530">
        <v>45147</v>
      </c>
      <c r="C530" t="s">
        <v>557</v>
      </c>
      <c r="D530" t="s">
        <v>17</v>
      </c>
      <c r="E530">
        <v>35</v>
      </c>
      <c r="F530" t="s">
        <v>18</v>
      </c>
      <c r="G530">
        <v>3</v>
      </c>
      <c r="H530">
        <v>50</v>
      </c>
      <c r="I530">
        <f t="shared" si="16"/>
        <v>150</v>
      </c>
      <c r="J530" s="4">
        <f t="shared" si="17"/>
        <v>2.25</v>
      </c>
      <c r="K530" t="str">
        <f>IF(RetailSales[[#This Row],[Age]]&lt;30,"Young Adult",IF(RetailSales[[#This Row],[Age]]&lt;50,"Adult","Senior"))</f>
        <v>Adult</v>
      </c>
      <c r="L530" t="str">
        <f>_xlfn.CONCAT(I530,"_",RetailSales[[#This Row],[Product Category]])</f>
        <v>150_Clothing</v>
      </c>
    </row>
    <row r="531" spans="1:12">
      <c r="A531">
        <v>530</v>
      </c>
      <c r="B531">
        <v>44962</v>
      </c>
      <c r="C531" t="s">
        <v>558</v>
      </c>
      <c r="D531" t="s">
        <v>17</v>
      </c>
      <c r="E531">
        <v>18</v>
      </c>
      <c r="F531" t="s">
        <v>20</v>
      </c>
      <c r="G531">
        <v>4</v>
      </c>
      <c r="H531">
        <v>30</v>
      </c>
      <c r="I531">
        <f t="shared" si="16"/>
        <v>120</v>
      </c>
      <c r="J531" s="4">
        <f t="shared" si="17"/>
        <v>1.7999999999999998</v>
      </c>
      <c r="K531" t="str">
        <f>IF(RetailSales[[#This Row],[Age]]&lt;30,"Young Adult",IF(RetailSales[[#This Row],[Age]]&lt;50,"Adult","Senior"))</f>
        <v>Young Adult</v>
      </c>
      <c r="L531" t="str">
        <f>_xlfn.CONCAT(I531,"_",RetailSales[[#This Row],[Product Category]])</f>
        <v>120_Electronics</v>
      </c>
    </row>
    <row r="532" spans="1:12">
      <c r="A532">
        <v>531</v>
      </c>
      <c r="B532">
        <v>45267</v>
      </c>
      <c r="C532" t="s">
        <v>559</v>
      </c>
      <c r="D532" t="s">
        <v>13</v>
      </c>
      <c r="E532">
        <v>31</v>
      </c>
      <c r="F532" t="s">
        <v>20</v>
      </c>
      <c r="G532">
        <v>1</v>
      </c>
      <c r="H532">
        <v>500</v>
      </c>
      <c r="I532">
        <f t="shared" si="16"/>
        <v>500</v>
      </c>
      <c r="J532" s="4">
        <f t="shared" si="17"/>
        <v>7.5</v>
      </c>
      <c r="K532" t="str">
        <f>IF(RetailSales[[#This Row],[Age]]&lt;30,"Young Adult",IF(RetailSales[[#This Row],[Age]]&lt;50,"Adult","Senior"))</f>
        <v>Adult</v>
      </c>
      <c r="L532" t="str">
        <f>_xlfn.CONCAT(I532,"_",RetailSales[[#This Row],[Product Category]])</f>
        <v>500_Electronics</v>
      </c>
    </row>
    <row r="533" spans="1:12">
      <c r="A533">
        <v>532</v>
      </c>
      <c r="B533">
        <v>45096</v>
      </c>
      <c r="C533" t="s">
        <v>560</v>
      </c>
      <c r="D533" t="s">
        <v>17</v>
      </c>
      <c r="E533">
        <v>64</v>
      </c>
      <c r="F533" t="s">
        <v>18</v>
      </c>
      <c r="G533">
        <v>4</v>
      </c>
      <c r="H533">
        <v>30</v>
      </c>
      <c r="I533">
        <f t="shared" si="16"/>
        <v>120</v>
      </c>
      <c r="J533" s="4">
        <f t="shared" si="17"/>
        <v>1.7999999999999998</v>
      </c>
      <c r="K533" t="str">
        <f>IF(RetailSales[[#This Row],[Age]]&lt;30,"Young Adult",IF(RetailSales[[#This Row],[Age]]&lt;50,"Adult","Senior"))</f>
        <v>Senior</v>
      </c>
      <c r="L533" t="str">
        <f>_xlfn.CONCAT(I533,"_",RetailSales[[#This Row],[Product Category]])</f>
        <v>120_Clothing</v>
      </c>
    </row>
    <row r="534" spans="1:12">
      <c r="A534">
        <v>533</v>
      </c>
      <c r="B534">
        <v>45246</v>
      </c>
      <c r="C534" t="s">
        <v>561</v>
      </c>
      <c r="D534" t="s">
        <v>13</v>
      </c>
      <c r="E534">
        <v>19</v>
      </c>
      <c r="F534" t="s">
        <v>20</v>
      </c>
      <c r="G534">
        <v>3</v>
      </c>
      <c r="H534">
        <v>500</v>
      </c>
      <c r="I534">
        <f t="shared" si="16"/>
        <v>1500</v>
      </c>
      <c r="J534" s="4">
        <f t="shared" si="17"/>
        <v>22.5</v>
      </c>
      <c r="K534" t="str">
        <f>IF(RetailSales[[#This Row],[Age]]&lt;30,"Young Adult",IF(RetailSales[[#This Row],[Age]]&lt;50,"Adult","Senior"))</f>
        <v>Young Adult</v>
      </c>
      <c r="L534" t="str">
        <f>_xlfn.CONCAT(I534,"_",RetailSales[[#This Row],[Product Category]])</f>
        <v>1500_Electronics</v>
      </c>
    </row>
    <row r="535" spans="1:12">
      <c r="A535">
        <v>534</v>
      </c>
      <c r="B535">
        <v>45087</v>
      </c>
      <c r="C535" t="s">
        <v>562</v>
      </c>
      <c r="D535" t="s">
        <v>13</v>
      </c>
      <c r="E535">
        <v>45</v>
      </c>
      <c r="F535" t="s">
        <v>18</v>
      </c>
      <c r="G535">
        <v>2</v>
      </c>
      <c r="H535">
        <v>500</v>
      </c>
      <c r="I535">
        <f t="shared" si="16"/>
        <v>1000</v>
      </c>
      <c r="J535" s="4">
        <f t="shared" si="17"/>
        <v>15</v>
      </c>
      <c r="K535" t="str">
        <f>IF(RetailSales[[#This Row],[Age]]&lt;30,"Young Adult",IF(RetailSales[[#This Row],[Age]]&lt;50,"Adult","Senior"))</f>
        <v>Adult</v>
      </c>
      <c r="L535" t="str">
        <f>_xlfn.CONCAT(I535,"_",RetailSales[[#This Row],[Product Category]])</f>
        <v>1000_Clothing</v>
      </c>
    </row>
    <row r="536" spans="1:12">
      <c r="A536">
        <v>535</v>
      </c>
      <c r="B536">
        <v>45266</v>
      </c>
      <c r="C536" t="s">
        <v>563</v>
      </c>
      <c r="D536" t="s">
        <v>13</v>
      </c>
      <c r="E536">
        <v>47</v>
      </c>
      <c r="F536" t="s">
        <v>14</v>
      </c>
      <c r="G536">
        <v>3</v>
      </c>
      <c r="H536">
        <v>30</v>
      </c>
      <c r="I536">
        <f t="shared" si="16"/>
        <v>90</v>
      </c>
      <c r="J536" s="4">
        <f t="shared" si="17"/>
        <v>1.3499999999999999</v>
      </c>
      <c r="K536" t="str">
        <f>IF(RetailSales[[#This Row],[Age]]&lt;30,"Young Adult",IF(RetailSales[[#This Row],[Age]]&lt;50,"Adult","Senior"))</f>
        <v>Adult</v>
      </c>
      <c r="L536" t="str">
        <f>_xlfn.CONCAT(I536,"_",RetailSales[[#This Row],[Product Category]])</f>
        <v>90_Beauty</v>
      </c>
    </row>
    <row r="537" spans="1:12">
      <c r="A537">
        <v>536</v>
      </c>
      <c r="B537">
        <v>44990</v>
      </c>
      <c r="C537" t="s">
        <v>564</v>
      </c>
      <c r="D537" t="s">
        <v>17</v>
      </c>
      <c r="E537">
        <v>55</v>
      </c>
      <c r="F537" t="s">
        <v>14</v>
      </c>
      <c r="G537">
        <v>4</v>
      </c>
      <c r="H537">
        <v>30</v>
      </c>
      <c r="I537">
        <f t="shared" si="16"/>
        <v>120</v>
      </c>
      <c r="J537" s="4">
        <f t="shared" si="17"/>
        <v>1.7999999999999998</v>
      </c>
      <c r="K537" t="str">
        <f>IF(RetailSales[[#This Row],[Age]]&lt;30,"Young Adult",IF(RetailSales[[#This Row],[Age]]&lt;50,"Adult","Senior"))</f>
        <v>Senior</v>
      </c>
      <c r="L537" t="str">
        <f>_xlfn.CONCAT(I537,"_",RetailSales[[#This Row],[Product Category]])</f>
        <v>120_Beauty</v>
      </c>
    </row>
    <row r="538" spans="1:12">
      <c r="A538">
        <v>537</v>
      </c>
      <c r="B538">
        <v>45080</v>
      </c>
      <c r="C538" t="s">
        <v>565</v>
      </c>
      <c r="D538" t="s">
        <v>17</v>
      </c>
      <c r="E538">
        <v>21</v>
      </c>
      <c r="F538" t="s">
        <v>14</v>
      </c>
      <c r="G538">
        <v>1</v>
      </c>
      <c r="H538">
        <v>500</v>
      </c>
      <c r="I538">
        <f t="shared" si="16"/>
        <v>500</v>
      </c>
      <c r="J538" s="4">
        <f t="shared" si="17"/>
        <v>7.5</v>
      </c>
      <c r="K538" t="str">
        <f>IF(RetailSales[[#This Row],[Age]]&lt;30,"Young Adult",IF(RetailSales[[#This Row],[Age]]&lt;50,"Adult","Senior"))</f>
        <v>Young Adult</v>
      </c>
      <c r="L538" t="str">
        <f>_xlfn.CONCAT(I538,"_",RetailSales[[#This Row],[Product Category]])</f>
        <v>500_Beauty</v>
      </c>
    </row>
    <row r="539" spans="1:12">
      <c r="A539">
        <v>538</v>
      </c>
      <c r="B539">
        <v>45186</v>
      </c>
      <c r="C539" t="s">
        <v>566</v>
      </c>
      <c r="D539" t="s">
        <v>13</v>
      </c>
      <c r="E539">
        <v>18</v>
      </c>
      <c r="F539" t="s">
        <v>18</v>
      </c>
      <c r="G539">
        <v>3</v>
      </c>
      <c r="H539">
        <v>50</v>
      </c>
      <c r="I539">
        <f t="shared" si="16"/>
        <v>150</v>
      </c>
      <c r="J539" s="4">
        <f t="shared" si="17"/>
        <v>2.25</v>
      </c>
      <c r="K539" t="str">
        <f>IF(RetailSales[[#This Row],[Age]]&lt;30,"Young Adult",IF(RetailSales[[#This Row],[Age]]&lt;50,"Adult","Senior"))</f>
        <v>Young Adult</v>
      </c>
      <c r="L539" t="str">
        <f>_xlfn.CONCAT(I539,"_",RetailSales[[#This Row],[Product Category]])</f>
        <v>150_Clothing</v>
      </c>
    </row>
    <row r="540" spans="1:12">
      <c r="A540">
        <v>539</v>
      </c>
      <c r="B540">
        <v>45085</v>
      </c>
      <c r="C540" t="s">
        <v>567</v>
      </c>
      <c r="D540" t="s">
        <v>13</v>
      </c>
      <c r="E540">
        <v>25</v>
      </c>
      <c r="F540" t="s">
        <v>14</v>
      </c>
      <c r="G540">
        <v>1</v>
      </c>
      <c r="H540">
        <v>500</v>
      </c>
      <c r="I540">
        <f t="shared" si="16"/>
        <v>500</v>
      </c>
      <c r="J540" s="4">
        <f t="shared" si="17"/>
        <v>7.5</v>
      </c>
      <c r="K540" t="str">
        <f>IF(RetailSales[[#This Row],[Age]]&lt;30,"Young Adult",IF(RetailSales[[#This Row],[Age]]&lt;50,"Adult","Senior"))</f>
        <v>Young Adult</v>
      </c>
      <c r="L540" t="str">
        <f>_xlfn.CONCAT(I540,"_",RetailSales[[#This Row],[Product Category]])</f>
        <v>500_Beauty</v>
      </c>
    </row>
    <row r="541" spans="1:12">
      <c r="A541">
        <v>540</v>
      </c>
      <c r="B541">
        <v>45268</v>
      </c>
      <c r="C541" t="s">
        <v>568</v>
      </c>
      <c r="D541" t="s">
        <v>17</v>
      </c>
      <c r="E541">
        <v>46</v>
      </c>
      <c r="F541" t="s">
        <v>20</v>
      </c>
      <c r="G541">
        <v>3</v>
      </c>
      <c r="H541">
        <v>300</v>
      </c>
      <c r="I541">
        <f t="shared" si="16"/>
        <v>900</v>
      </c>
      <c r="J541" s="4">
        <f t="shared" si="17"/>
        <v>13.5</v>
      </c>
      <c r="K541" t="str">
        <f>IF(RetailSales[[#This Row],[Age]]&lt;30,"Young Adult",IF(RetailSales[[#This Row],[Age]]&lt;50,"Adult","Senior"))</f>
        <v>Adult</v>
      </c>
      <c r="L541" t="str">
        <f>_xlfn.CONCAT(I541,"_",RetailSales[[#This Row],[Product Category]])</f>
        <v>900_Electronics</v>
      </c>
    </row>
    <row r="542" spans="1:12">
      <c r="A542">
        <v>541</v>
      </c>
      <c r="B542">
        <v>45136</v>
      </c>
      <c r="C542" t="s">
        <v>569</v>
      </c>
      <c r="D542" t="s">
        <v>13</v>
      </c>
      <c r="E542">
        <v>56</v>
      </c>
      <c r="F542" t="s">
        <v>14</v>
      </c>
      <c r="G542">
        <v>1</v>
      </c>
      <c r="H542">
        <v>500</v>
      </c>
      <c r="I542">
        <f t="shared" si="16"/>
        <v>500</v>
      </c>
      <c r="J542" s="4">
        <f t="shared" si="17"/>
        <v>7.5</v>
      </c>
      <c r="K542" t="str">
        <f>IF(RetailSales[[#This Row],[Age]]&lt;30,"Young Adult",IF(RetailSales[[#This Row],[Age]]&lt;50,"Adult","Senior"))</f>
        <v>Senior</v>
      </c>
      <c r="L542" t="str">
        <f>_xlfn.CONCAT(I542,"_",RetailSales[[#This Row],[Product Category]])</f>
        <v>500_Beauty</v>
      </c>
    </row>
    <row r="543" spans="1:12">
      <c r="A543">
        <v>542</v>
      </c>
      <c r="B543">
        <v>45094</v>
      </c>
      <c r="C543" t="s">
        <v>570</v>
      </c>
      <c r="D543" t="s">
        <v>17</v>
      </c>
      <c r="E543">
        <v>20</v>
      </c>
      <c r="F543" t="s">
        <v>14</v>
      </c>
      <c r="G543">
        <v>1</v>
      </c>
      <c r="H543">
        <v>50</v>
      </c>
      <c r="I543">
        <f t="shared" si="16"/>
        <v>50</v>
      </c>
      <c r="J543" s="4">
        <f t="shared" si="17"/>
        <v>0.75</v>
      </c>
      <c r="K543" t="str">
        <f>IF(RetailSales[[#This Row],[Age]]&lt;30,"Young Adult",IF(RetailSales[[#This Row],[Age]]&lt;50,"Adult","Senior"))</f>
        <v>Young Adult</v>
      </c>
      <c r="L543" t="str">
        <f>_xlfn.CONCAT(I543,"_",RetailSales[[#This Row],[Product Category]])</f>
        <v>50_Beauty</v>
      </c>
    </row>
    <row r="544" spans="1:12">
      <c r="A544">
        <v>543</v>
      </c>
      <c r="B544">
        <v>45133</v>
      </c>
      <c r="C544" t="s">
        <v>571</v>
      </c>
      <c r="D544" t="s">
        <v>13</v>
      </c>
      <c r="E544">
        <v>49</v>
      </c>
      <c r="F544" t="s">
        <v>14</v>
      </c>
      <c r="G544">
        <v>2</v>
      </c>
      <c r="H544">
        <v>300</v>
      </c>
      <c r="I544">
        <f t="shared" si="16"/>
        <v>600</v>
      </c>
      <c r="J544" s="4">
        <f t="shared" si="17"/>
        <v>9</v>
      </c>
      <c r="K544" t="str">
        <f>IF(RetailSales[[#This Row],[Age]]&lt;30,"Young Adult",IF(RetailSales[[#This Row],[Age]]&lt;50,"Adult","Senior"))</f>
        <v>Adult</v>
      </c>
      <c r="L544" t="str">
        <f>_xlfn.CONCAT(I544,"_",RetailSales[[#This Row],[Product Category]])</f>
        <v>600_Beauty</v>
      </c>
    </row>
    <row r="545" spans="1:12">
      <c r="A545">
        <v>544</v>
      </c>
      <c r="B545">
        <v>45283</v>
      </c>
      <c r="C545" t="s">
        <v>572</v>
      </c>
      <c r="D545" t="s">
        <v>17</v>
      </c>
      <c r="E545">
        <v>27</v>
      </c>
      <c r="F545" t="s">
        <v>20</v>
      </c>
      <c r="G545">
        <v>1</v>
      </c>
      <c r="H545">
        <v>25</v>
      </c>
      <c r="I545">
        <f t="shared" si="16"/>
        <v>25</v>
      </c>
      <c r="J545" s="4">
        <f t="shared" si="17"/>
        <v>0.375</v>
      </c>
      <c r="K545" t="str">
        <f>IF(RetailSales[[#This Row],[Age]]&lt;30,"Young Adult",IF(RetailSales[[#This Row],[Age]]&lt;50,"Adult","Senior"))</f>
        <v>Young Adult</v>
      </c>
      <c r="L545" t="str">
        <f>_xlfn.CONCAT(I545,"_",RetailSales[[#This Row],[Product Category]])</f>
        <v>25_Electronics</v>
      </c>
    </row>
    <row r="546" spans="1:12">
      <c r="A546">
        <v>545</v>
      </c>
      <c r="B546">
        <v>45078</v>
      </c>
      <c r="C546" t="s">
        <v>573</v>
      </c>
      <c r="D546" t="s">
        <v>13</v>
      </c>
      <c r="E546">
        <v>27</v>
      </c>
      <c r="F546" t="s">
        <v>18</v>
      </c>
      <c r="G546">
        <v>2</v>
      </c>
      <c r="H546">
        <v>25</v>
      </c>
      <c r="I546">
        <f t="shared" si="16"/>
        <v>50</v>
      </c>
      <c r="J546" s="4">
        <f t="shared" si="17"/>
        <v>0.75</v>
      </c>
      <c r="K546" t="str">
        <f>IF(RetailSales[[#This Row],[Age]]&lt;30,"Young Adult",IF(RetailSales[[#This Row],[Age]]&lt;50,"Adult","Senior"))</f>
        <v>Young Adult</v>
      </c>
      <c r="L546" t="str">
        <f>_xlfn.CONCAT(I546,"_",RetailSales[[#This Row],[Product Category]])</f>
        <v>50_Clothing</v>
      </c>
    </row>
    <row r="547" spans="1:12">
      <c r="A547">
        <v>546</v>
      </c>
      <c r="B547">
        <v>45210</v>
      </c>
      <c r="C547" t="s">
        <v>574</v>
      </c>
      <c r="D547" t="s">
        <v>17</v>
      </c>
      <c r="E547">
        <v>36</v>
      </c>
      <c r="F547" t="s">
        <v>20</v>
      </c>
      <c r="G547">
        <v>4</v>
      </c>
      <c r="H547">
        <v>50</v>
      </c>
      <c r="I547">
        <f t="shared" si="16"/>
        <v>200</v>
      </c>
      <c r="J547" s="4">
        <f t="shared" si="17"/>
        <v>3</v>
      </c>
      <c r="K547" t="str">
        <f>IF(RetailSales[[#This Row],[Age]]&lt;30,"Young Adult",IF(RetailSales[[#This Row],[Age]]&lt;50,"Adult","Senior"))</f>
        <v>Adult</v>
      </c>
      <c r="L547" t="str">
        <f>_xlfn.CONCAT(I547,"_",RetailSales[[#This Row],[Product Category]])</f>
        <v>200_Electronics</v>
      </c>
    </row>
    <row r="548" spans="1:12">
      <c r="A548">
        <v>547</v>
      </c>
      <c r="B548">
        <v>44992</v>
      </c>
      <c r="C548" t="s">
        <v>575</v>
      </c>
      <c r="D548" t="s">
        <v>13</v>
      </c>
      <c r="E548">
        <v>63</v>
      </c>
      <c r="F548" t="s">
        <v>18</v>
      </c>
      <c r="G548">
        <v>4</v>
      </c>
      <c r="H548">
        <v>500</v>
      </c>
      <c r="I548">
        <f t="shared" si="16"/>
        <v>2000</v>
      </c>
      <c r="J548" s="4">
        <f t="shared" si="17"/>
        <v>30</v>
      </c>
      <c r="K548" t="str">
        <f>IF(RetailSales[[#This Row],[Age]]&lt;30,"Young Adult",IF(RetailSales[[#This Row],[Age]]&lt;50,"Adult","Senior"))</f>
        <v>Senior</v>
      </c>
      <c r="L548" t="str">
        <f>_xlfn.CONCAT(I548,"_",RetailSales[[#This Row],[Product Category]])</f>
        <v>2000_Clothing</v>
      </c>
    </row>
    <row r="549" spans="1:12">
      <c r="A549">
        <v>548</v>
      </c>
      <c r="B549">
        <v>45025</v>
      </c>
      <c r="C549" t="s">
        <v>576</v>
      </c>
      <c r="D549" t="s">
        <v>17</v>
      </c>
      <c r="E549">
        <v>51</v>
      </c>
      <c r="F549" t="s">
        <v>18</v>
      </c>
      <c r="G549">
        <v>2</v>
      </c>
      <c r="H549">
        <v>30</v>
      </c>
      <c r="I549">
        <f t="shared" si="16"/>
        <v>60</v>
      </c>
      <c r="J549" s="4">
        <f t="shared" si="17"/>
        <v>0.89999999999999991</v>
      </c>
      <c r="K549" t="str">
        <f>IF(RetailSales[[#This Row],[Age]]&lt;30,"Young Adult",IF(RetailSales[[#This Row],[Age]]&lt;50,"Adult","Senior"))</f>
        <v>Senior</v>
      </c>
      <c r="L549" t="str">
        <f>_xlfn.CONCAT(I549,"_",RetailSales[[#This Row],[Product Category]])</f>
        <v>60_Clothing</v>
      </c>
    </row>
    <row r="550" spans="1:12">
      <c r="A550">
        <v>549</v>
      </c>
      <c r="B550">
        <v>45142</v>
      </c>
      <c r="C550" t="s">
        <v>577</v>
      </c>
      <c r="D550" t="s">
        <v>17</v>
      </c>
      <c r="E550">
        <v>50</v>
      </c>
      <c r="F550" t="s">
        <v>14</v>
      </c>
      <c r="G550">
        <v>2</v>
      </c>
      <c r="H550">
        <v>50</v>
      </c>
      <c r="I550">
        <f t="shared" si="16"/>
        <v>100</v>
      </c>
      <c r="J550" s="4">
        <f t="shared" si="17"/>
        <v>1.5</v>
      </c>
      <c r="K550" t="str">
        <f>IF(RetailSales[[#This Row],[Age]]&lt;30,"Young Adult",IF(RetailSales[[#This Row],[Age]]&lt;50,"Adult","Senior"))</f>
        <v>Senior</v>
      </c>
      <c r="L550" t="str">
        <f>_xlfn.CONCAT(I550,"_",RetailSales[[#This Row],[Product Category]])</f>
        <v>100_Beauty</v>
      </c>
    </row>
    <row r="551" spans="1:12">
      <c r="A551">
        <v>550</v>
      </c>
      <c r="B551">
        <v>45267</v>
      </c>
      <c r="C551" t="s">
        <v>578</v>
      </c>
      <c r="D551" t="s">
        <v>13</v>
      </c>
      <c r="E551">
        <v>40</v>
      </c>
      <c r="F551" t="s">
        <v>18</v>
      </c>
      <c r="G551">
        <v>3</v>
      </c>
      <c r="H551">
        <v>300</v>
      </c>
      <c r="I551">
        <f t="shared" si="16"/>
        <v>900</v>
      </c>
      <c r="J551" s="4">
        <f t="shared" si="17"/>
        <v>13.5</v>
      </c>
      <c r="K551" t="str">
        <f>IF(RetailSales[[#This Row],[Age]]&lt;30,"Young Adult",IF(RetailSales[[#This Row],[Age]]&lt;50,"Adult","Senior"))</f>
        <v>Adult</v>
      </c>
      <c r="L551" t="str">
        <f>_xlfn.CONCAT(I551,"_",RetailSales[[#This Row],[Product Category]])</f>
        <v>900_Clothing</v>
      </c>
    </row>
    <row r="552" spans="1:12">
      <c r="A552">
        <v>551</v>
      </c>
      <c r="B552">
        <v>45121</v>
      </c>
      <c r="C552" t="s">
        <v>579</v>
      </c>
      <c r="D552" t="s">
        <v>13</v>
      </c>
      <c r="E552">
        <v>45</v>
      </c>
      <c r="F552" t="s">
        <v>20</v>
      </c>
      <c r="G552">
        <v>3</v>
      </c>
      <c r="H552">
        <v>300</v>
      </c>
      <c r="I552">
        <f t="shared" si="16"/>
        <v>900</v>
      </c>
      <c r="J552" s="4">
        <f t="shared" si="17"/>
        <v>13.5</v>
      </c>
      <c r="K552" t="str">
        <f>IF(RetailSales[[#This Row],[Age]]&lt;30,"Young Adult",IF(RetailSales[[#This Row],[Age]]&lt;50,"Adult","Senior"))</f>
        <v>Adult</v>
      </c>
      <c r="L552" t="str">
        <f>_xlfn.CONCAT(I552,"_",RetailSales[[#This Row],[Product Category]])</f>
        <v>900_Electronics</v>
      </c>
    </row>
    <row r="553" spans="1:12">
      <c r="A553">
        <v>552</v>
      </c>
      <c r="B553">
        <v>45273</v>
      </c>
      <c r="C553" t="s">
        <v>580</v>
      </c>
      <c r="D553" t="s">
        <v>17</v>
      </c>
      <c r="E553">
        <v>49</v>
      </c>
      <c r="F553" t="s">
        <v>20</v>
      </c>
      <c r="G553">
        <v>3</v>
      </c>
      <c r="H553">
        <v>25</v>
      </c>
      <c r="I553">
        <f t="shared" si="16"/>
        <v>75</v>
      </c>
      <c r="J553" s="4">
        <f t="shared" si="17"/>
        <v>1.125</v>
      </c>
      <c r="K553" t="str">
        <f>IF(RetailSales[[#This Row],[Age]]&lt;30,"Young Adult",IF(RetailSales[[#This Row],[Age]]&lt;50,"Adult","Senior"))</f>
        <v>Adult</v>
      </c>
      <c r="L553" t="str">
        <f>_xlfn.CONCAT(I553,"_",RetailSales[[#This Row],[Product Category]])</f>
        <v>75_Electronics</v>
      </c>
    </row>
    <row r="554" spans="1:12">
      <c r="A554">
        <v>553</v>
      </c>
      <c r="B554">
        <v>45016</v>
      </c>
      <c r="C554" t="s">
        <v>581</v>
      </c>
      <c r="D554" t="s">
        <v>13</v>
      </c>
      <c r="E554">
        <v>24</v>
      </c>
      <c r="F554" t="s">
        <v>18</v>
      </c>
      <c r="G554">
        <v>4</v>
      </c>
      <c r="H554">
        <v>300</v>
      </c>
      <c r="I554">
        <f t="shared" si="16"/>
        <v>1200</v>
      </c>
      <c r="J554" s="4">
        <f t="shared" si="17"/>
        <v>18</v>
      </c>
      <c r="K554" t="str">
        <f>IF(RetailSales[[#This Row],[Age]]&lt;30,"Young Adult",IF(RetailSales[[#This Row],[Age]]&lt;50,"Adult","Senior"))</f>
        <v>Young Adult</v>
      </c>
      <c r="L554" t="str">
        <f>_xlfn.CONCAT(I554,"_",RetailSales[[#This Row],[Product Category]])</f>
        <v>1200_Clothing</v>
      </c>
    </row>
    <row r="555" spans="1:12">
      <c r="A555">
        <v>554</v>
      </c>
      <c r="B555">
        <v>45242</v>
      </c>
      <c r="C555" t="s">
        <v>582</v>
      </c>
      <c r="D555" t="s">
        <v>17</v>
      </c>
      <c r="E555">
        <v>46</v>
      </c>
      <c r="F555" t="s">
        <v>14</v>
      </c>
      <c r="G555">
        <v>3</v>
      </c>
      <c r="H555">
        <v>50</v>
      </c>
      <c r="I555">
        <f t="shared" si="16"/>
        <v>150</v>
      </c>
      <c r="J555" s="4">
        <f t="shared" si="17"/>
        <v>2.25</v>
      </c>
      <c r="K555" t="str">
        <f>IF(RetailSales[[#This Row],[Age]]&lt;30,"Young Adult",IF(RetailSales[[#This Row],[Age]]&lt;50,"Adult","Senior"))</f>
        <v>Adult</v>
      </c>
      <c r="L555" t="str">
        <f>_xlfn.CONCAT(I555,"_",RetailSales[[#This Row],[Product Category]])</f>
        <v>150_Beauty</v>
      </c>
    </row>
    <row r="556" spans="1:12">
      <c r="A556">
        <v>555</v>
      </c>
      <c r="B556">
        <v>45218</v>
      </c>
      <c r="C556" t="s">
        <v>583</v>
      </c>
      <c r="D556" t="s">
        <v>13</v>
      </c>
      <c r="E556">
        <v>25</v>
      </c>
      <c r="F556" t="s">
        <v>14</v>
      </c>
      <c r="G556">
        <v>1</v>
      </c>
      <c r="H556">
        <v>300</v>
      </c>
      <c r="I556">
        <f t="shared" si="16"/>
        <v>300</v>
      </c>
      <c r="J556" s="4">
        <f t="shared" si="17"/>
        <v>4.5</v>
      </c>
      <c r="K556" t="str">
        <f>IF(RetailSales[[#This Row],[Age]]&lt;30,"Young Adult",IF(RetailSales[[#This Row],[Age]]&lt;50,"Adult","Senior"))</f>
        <v>Young Adult</v>
      </c>
      <c r="L556" t="str">
        <f>_xlfn.CONCAT(I556,"_",RetailSales[[#This Row],[Product Category]])</f>
        <v>300_Beauty</v>
      </c>
    </row>
    <row r="557" spans="1:12">
      <c r="A557">
        <v>556</v>
      </c>
      <c r="B557">
        <v>45081</v>
      </c>
      <c r="C557" t="s">
        <v>584</v>
      </c>
      <c r="D557" t="s">
        <v>17</v>
      </c>
      <c r="E557">
        <v>18</v>
      </c>
      <c r="F557" t="s">
        <v>20</v>
      </c>
      <c r="G557">
        <v>1</v>
      </c>
      <c r="H557">
        <v>50</v>
      </c>
      <c r="I557">
        <f t="shared" si="16"/>
        <v>50</v>
      </c>
      <c r="J557" s="4">
        <f t="shared" si="17"/>
        <v>0.75</v>
      </c>
      <c r="K557" t="str">
        <f>IF(RetailSales[[#This Row],[Age]]&lt;30,"Young Adult",IF(RetailSales[[#This Row],[Age]]&lt;50,"Adult","Senior"))</f>
        <v>Young Adult</v>
      </c>
      <c r="L557" t="str">
        <f>_xlfn.CONCAT(I557,"_",RetailSales[[#This Row],[Product Category]])</f>
        <v>50_Electronics</v>
      </c>
    </row>
    <row r="558" spans="1:12">
      <c r="A558">
        <v>557</v>
      </c>
      <c r="B558">
        <v>45134</v>
      </c>
      <c r="C558" t="s">
        <v>585</v>
      </c>
      <c r="D558" t="s">
        <v>17</v>
      </c>
      <c r="E558">
        <v>20</v>
      </c>
      <c r="F558" t="s">
        <v>14</v>
      </c>
      <c r="G558">
        <v>3</v>
      </c>
      <c r="H558">
        <v>30</v>
      </c>
      <c r="I558">
        <f t="shared" si="16"/>
        <v>90</v>
      </c>
      <c r="J558" s="4">
        <f t="shared" si="17"/>
        <v>1.3499999999999999</v>
      </c>
      <c r="K558" t="str">
        <f>IF(RetailSales[[#This Row],[Age]]&lt;30,"Young Adult",IF(RetailSales[[#This Row],[Age]]&lt;50,"Adult","Senior"))</f>
        <v>Young Adult</v>
      </c>
      <c r="L558" t="str">
        <f>_xlfn.CONCAT(I558,"_",RetailSales[[#This Row],[Product Category]])</f>
        <v>90_Beauty</v>
      </c>
    </row>
    <row r="559" spans="1:12">
      <c r="A559">
        <v>558</v>
      </c>
      <c r="B559">
        <v>45207</v>
      </c>
      <c r="C559" t="s">
        <v>586</v>
      </c>
      <c r="D559" t="s">
        <v>17</v>
      </c>
      <c r="E559">
        <v>41</v>
      </c>
      <c r="F559" t="s">
        <v>18</v>
      </c>
      <c r="G559">
        <v>1</v>
      </c>
      <c r="H559">
        <v>25</v>
      </c>
      <c r="I559">
        <f t="shared" si="16"/>
        <v>25</v>
      </c>
      <c r="J559" s="4">
        <f t="shared" si="17"/>
        <v>0.375</v>
      </c>
      <c r="K559" t="str">
        <f>IF(RetailSales[[#This Row],[Age]]&lt;30,"Young Adult",IF(RetailSales[[#This Row],[Age]]&lt;50,"Adult","Senior"))</f>
        <v>Adult</v>
      </c>
      <c r="L559" t="str">
        <f>_xlfn.CONCAT(I559,"_",RetailSales[[#This Row],[Product Category]])</f>
        <v>25_Clothing</v>
      </c>
    </row>
    <row r="560" spans="1:12">
      <c r="A560">
        <v>559</v>
      </c>
      <c r="B560">
        <v>44927</v>
      </c>
      <c r="C560" t="s">
        <v>587</v>
      </c>
      <c r="D560" t="s">
        <v>17</v>
      </c>
      <c r="E560">
        <v>40</v>
      </c>
      <c r="F560" t="s">
        <v>18</v>
      </c>
      <c r="G560">
        <v>4</v>
      </c>
      <c r="H560">
        <v>300</v>
      </c>
      <c r="I560">
        <f t="shared" si="16"/>
        <v>1200</v>
      </c>
      <c r="J560" s="4">
        <f t="shared" si="17"/>
        <v>18</v>
      </c>
      <c r="K560" t="str">
        <f>IF(RetailSales[[#This Row],[Age]]&lt;30,"Young Adult",IF(RetailSales[[#This Row],[Age]]&lt;50,"Adult","Senior"))</f>
        <v>Adult</v>
      </c>
      <c r="L560" t="str">
        <f>_xlfn.CONCAT(I560,"_",RetailSales[[#This Row],[Product Category]])</f>
        <v>1200_Clothing</v>
      </c>
    </row>
    <row r="561" spans="1:12">
      <c r="A561">
        <v>560</v>
      </c>
      <c r="B561">
        <v>45082</v>
      </c>
      <c r="C561" t="s">
        <v>588</v>
      </c>
      <c r="D561" t="s">
        <v>17</v>
      </c>
      <c r="E561">
        <v>25</v>
      </c>
      <c r="F561" t="s">
        <v>20</v>
      </c>
      <c r="G561">
        <v>1</v>
      </c>
      <c r="H561">
        <v>50</v>
      </c>
      <c r="I561">
        <f t="shared" si="16"/>
        <v>50</v>
      </c>
      <c r="J561" s="4">
        <f t="shared" si="17"/>
        <v>0.75</v>
      </c>
      <c r="K561" t="str">
        <f>IF(RetailSales[[#This Row],[Age]]&lt;30,"Young Adult",IF(RetailSales[[#This Row],[Age]]&lt;50,"Adult","Senior"))</f>
        <v>Young Adult</v>
      </c>
      <c r="L561" t="str">
        <f>_xlfn.CONCAT(I561,"_",RetailSales[[#This Row],[Product Category]])</f>
        <v>50_Electronics</v>
      </c>
    </row>
    <row r="562" spans="1:12">
      <c r="A562">
        <v>561</v>
      </c>
      <c r="B562">
        <v>45073</v>
      </c>
      <c r="C562" t="s">
        <v>589</v>
      </c>
      <c r="D562" t="s">
        <v>17</v>
      </c>
      <c r="E562">
        <v>64</v>
      </c>
      <c r="F562" t="s">
        <v>18</v>
      </c>
      <c r="G562">
        <v>4</v>
      </c>
      <c r="H562">
        <v>500</v>
      </c>
      <c r="I562">
        <f t="shared" si="16"/>
        <v>2000</v>
      </c>
      <c r="J562" s="4">
        <f t="shared" si="17"/>
        <v>30</v>
      </c>
      <c r="K562" t="str">
        <f>IF(RetailSales[[#This Row],[Age]]&lt;30,"Young Adult",IF(RetailSales[[#This Row],[Age]]&lt;50,"Adult","Senior"))</f>
        <v>Senior</v>
      </c>
      <c r="L562" t="str">
        <f>_xlfn.CONCAT(I562,"_",RetailSales[[#This Row],[Product Category]])</f>
        <v>2000_Clothing</v>
      </c>
    </row>
    <row r="563" spans="1:12">
      <c r="A563">
        <v>562</v>
      </c>
      <c r="B563">
        <v>45034</v>
      </c>
      <c r="C563" t="s">
        <v>590</v>
      </c>
      <c r="D563" t="s">
        <v>13</v>
      </c>
      <c r="E563">
        <v>54</v>
      </c>
      <c r="F563" t="s">
        <v>20</v>
      </c>
      <c r="G563">
        <v>2</v>
      </c>
      <c r="H563">
        <v>25</v>
      </c>
      <c r="I563">
        <f t="shared" si="16"/>
        <v>50</v>
      </c>
      <c r="J563" s="4">
        <f t="shared" si="17"/>
        <v>0.75</v>
      </c>
      <c r="K563" t="str">
        <f>IF(RetailSales[[#This Row],[Age]]&lt;30,"Young Adult",IF(RetailSales[[#This Row],[Age]]&lt;50,"Adult","Senior"))</f>
        <v>Senior</v>
      </c>
      <c r="L563" t="str">
        <f>_xlfn.CONCAT(I563,"_",RetailSales[[#This Row],[Product Category]])</f>
        <v>50_Electronics</v>
      </c>
    </row>
    <row r="564" spans="1:12">
      <c r="A564">
        <v>563</v>
      </c>
      <c r="B564">
        <v>45147</v>
      </c>
      <c r="C564" t="s">
        <v>591</v>
      </c>
      <c r="D564" t="s">
        <v>13</v>
      </c>
      <c r="E564">
        <v>20</v>
      </c>
      <c r="F564" t="s">
        <v>18</v>
      </c>
      <c r="G564">
        <v>2</v>
      </c>
      <c r="H564">
        <v>30</v>
      </c>
      <c r="I564">
        <f t="shared" si="16"/>
        <v>60</v>
      </c>
      <c r="J564" s="4">
        <f t="shared" si="17"/>
        <v>0.89999999999999991</v>
      </c>
      <c r="K564" t="str">
        <f>IF(RetailSales[[#This Row],[Age]]&lt;30,"Young Adult",IF(RetailSales[[#This Row],[Age]]&lt;50,"Adult","Senior"))</f>
        <v>Young Adult</v>
      </c>
      <c r="L564" t="str">
        <f>_xlfn.CONCAT(I564,"_",RetailSales[[#This Row],[Product Category]])</f>
        <v>60_Clothing</v>
      </c>
    </row>
    <row r="565" spans="1:12">
      <c r="A565">
        <v>564</v>
      </c>
      <c r="B565">
        <v>45223</v>
      </c>
      <c r="C565" t="s">
        <v>592</v>
      </c>
      <c r="D565" t="s">
        <v>13</v>
      </c>
      <c r="E565">
        <v>50</v>
      </c>
      <c r="F565" t="s">
        <v>20</v>
      </c>
      <c r="G565">
        <v>2</v>
      </c>
      <c r="H565">
        <v>50</v>
      </c>
      <c r="I565">
        <f t="shared" si="16"/>
        <v>100</v>
      </c>
      <c r="J565" s="4">
        <f t="shared" si="17"/>
        <v>1.5</v>
      </c>
      <c r="K565" t="str">
        <f>IF(RetailSales[[#This Row],[Age]]&lt;30,"Young Adult",IF(RetailSales[[#This Row],[Age]]&lt;50,"Adult","Senior"))</f>
        <v>Senior</v>
      </c>
      <c r="L565" t="str">
        <f>_xlfn.CONCAT(I565,"_",RetailSales[[#This Row],[Product Category]])</f>
        <v>100_Electronics</v>
      </c>
    </row>
    <row r="566" spans="1:12">
      <c r="A566">
        <v>565</v>
      </c>
      <c r="B566">
        <v>45237</v>
      </c>
      <c r="C566" t="s">
        <v>593</v>
      </c>
      <c r="D566" t="s">
        <v>17</v>
      </c>
      <c r="E566">
        <v>45</v>
      </c>
      <c r="F566" t="s">
        <v>14</v>
      </c>
      <c r="G566">
        <v>2</v>
      </c>
      <c r="H566">
        <v>30</v>
      </c>
      <c r="I566">
        <f t="shared" si="16"/>
        <v>60</v>
      </c>
      <c r="J566" s="4">
        <f t="shared" si="17"/>
        <v>0.89999999999999991</v>
      </c>
      <c r="K566" t="str">
        <f>IF(RetailSales[[#This Row],[Age]]&lt;30,"Young Adult",IF(RetailSales[[#This Row],[Age]]&lt;50,"Adult","Senior"))</f>
        <v>Adult</v>
      </c>
      <c r="L566" t="str">
        <f>_xlfn.CONCAT(I566,"_",RetailSales[[#This Row],[Product Category]])</f>
        <v>60_Beauty</v>
      </c>
    </row>
    <row r="567" spans="1:12">
      <c r="A567">
        <v>566</v>
      </c>
      <c r="B567">
        <v>45262</v>
      </c>
      <c r="C567" t="s">
        <v>594</v>
      </c>
      <c r="D567" t="s">
        <v>17</v>
      </c>
      <c r="E567">
        <v>64</v>
      </c>
      <c r="F567" t="s">
        <v>18</v>
      </c>
      <c r="G567">
        <v>1</v>
      </c>
      <c r="H567">
        <v>30</v>
      </c>
      <c r="I567">
        <f t="shared" si="16"/>
        <v>30</v>
      </c>
      <c r="J567" s="4">
        <f t="shared" si="17"/>
        <v>0.44999999999999996</v>
      </c>
      <c r="K567" t="str">
        <f>IF(RetailSales[[#This Row],[Age]]&lt;30,"Young Adult",IF(RetailSales[[#This Row],[Age]]&lt;50,"Adult","Senior"))</f>
        <v>Senior</v>
      </c>
      <c r="L567" t="str">
        <f>_xlfn.CONCAT(I567,"_",RetailSales[[#This Row],[Product Category]])</f>
        <v>30_Clothing</v>
      </c>
    </row>
    <row r="568" spans="1:12">
      <c r="A568">
        <v>567</v>
      </c>
      <c r="B568">
        <v>45091</v>
      </c>
      <c r="C568" t="s">
        <v>595</v>
      </c>
      <c r="D568" t="s">
        <v>17</v>
      </c>
      <c r="E568">
        <v>25</v>
      </c>
      <c r="F568" t="s">
        <v>18</v>
      </c>
      <c r="G568">
        <v>3</v>
      </c>
      <c r="H568">
        <v>300</v>
      </c>
      <c r="I568">
        <f t="shared" si="16"/>
        <v>900</v>
      </c>
      <c r="J568" s="4">
        <f t="shared" si="17"/>
        <v>13.5</v>
      </c>
      <c r="K568" t="str">
        <f>IF(RetailSales[[#This Row],[Age]]&lt;30,"Young Adult",IF(RetailSales[[#This Row],[Age]]&lt;50,"Adult","Senior"))</f>
        <v>Young Adult</v>
      </c>
      <c r="L568" t="str">
        <f>_xlfn.CONCAT(I568,"_",RetailSales[[#This Row],[Product Category]])</f>
        <v>900_Clothing</v>
      </c>
    </row>
    <row r="569" spans="1:12">
      <c r="A569">
        <v>568</v>
      </c>
      <c r="B569">
        <v>45165</v>
      </c>
      <c r="C569" t="s">
        <v>596</v>
      </c>
      <c r="D569" t="s">
        <v>17</v>
      </c>
      <c r="E569">
        <v>51</v>
      </c>
      <c r="F569" t="s">
        <v>20</v>
      </c>
      <c r="G569">
        <v>1</v>
      </c>
      <c r="H569">
        <v>300</v>
      </c>
      <c r="I569">
        <f t="shared" si="16"/>
        <v>300</v>
      </c>
      <c r="J569" s="4">
        <f t="shared" si="17"/>
        <v>4.5</v>
      </c>
      <c r="K569" t="str">
        <f>IF(RetailSales[[#This Row],[Age]]&lt;30,"Young Adult",IF(RetailSales[[#This Row],[Age]]&lt;50,"Adult","Senior"))</f>
        <v>Senior</v>
      </c>
      <c r="L569" t="str">
        <f>_xlfn.CONCAT(I569,"_",RetailSales[[#This Row],[Product Category]])</f>
        <v>300_Electronics</v>
      </c>
    </row>
    <row r="570" spans="1:12">
      <c r="A570">
        <v>569</v>
      </c>
      <c r="B570">
        <v>45153</v>
      </c>
      <c r="C570" t="s">
        <v>597</v>
      </c>
      <c r="D570" t="s">
        <v>13</v>
      </c>
      <c r="E570">
        <v>52</v>
      </c>
      <c r="F570" t="s">
        <v>20</v>
      </c>
      <c r="G570">
        <v>4</v>
      </c>
      <c r="H570">
        <v>50</v>
      </c>
      <c r="I570">
        <f t="shared" si="16"/>
        <v>200</v>
      </c>
      <c r="J570" s="4">
        <f t="shared" si="17"/>
        <v>3</v>
      </c>
      <c r="K570" t="str">
        <f>IF(RetailSales[[#This Row],[Age]]&lt;30,"Young Adult",IF(RetailSales[[#This Row],[Age]]&lt;50,"Adult","Senior"))</f>
        <v>Senior</v>
      </c>
      <c r="L570" t="str">
        <f>_xlfn.CONCAT(I570,"_",RetailSales[[#This Row],[Product Category]])</f>
        <v>200_Electronics</v>
      </c>
    </row>
    <row r="571" spans="1:12">
      <c r="A571">
        <v>570</v>
      </c>
      <c r="B571">
        <v>45153</v>
      </c>
      <c r="C571" t="s">
        <v>598</v>
      </c>
      <c r="D571" t="s">
        <v>13</v>
      </c>
      <c r="E571">
        <v>49</v>
      </c>
      <c r="F571" t="s">
        <v>18</v>
      </c>
      <c r="G571">
        <v>1</v>
      </c>
      <c r="H571">
        <v>500</v>
      </c>
      <c r="I571">
        <f t="shared" si="16"/>
        <v>500</v>
      </c>
      <c r="J571" s="4">
        <f t="shared" si="17"/>
        <v>7.5</v>
      </c>
      <c r="K571" t="str">
        <f>IF(RetailSales[[#This Row],[Age]]&lt;30,"Young Adult",IF(RetailSales[[#This Row],[Age]]&lt;50,"Adult","Senior"))</f>
        <v>Adult</v>
      </c>
      <c r="L571" t="str">
        <f>_xlfn.CONCAT(I571,"_",RetailSales[[#This Row],[Product Category]])</f>
        <v>500_Clothing</v>
      </c>
    </row>
    <row r="572" spans="1:12">
      <c r="A572">
        <v>571</v>
      </c>
      <c r="B572">
        <v>45272</v>
      </c>
      <c r="C572" t="s">
        <v>599</v>
      </c>
      <c r="D572" t="s">
        <v>17</v>
      </c>
      <c r="E572">
        <v>41</v>
      </c>
      <c r="F572" t="s">
        <v>20</v>
      </c>
      <c r="G572">
        <v>1</v>
      </c>
      <c r="H572">
        <v>50</v>
      </c>
      <c r="I572">
        <f t="shared" si="16"/>
        <v>50</v>
      </c>
      <c r="J572" s="4">
        <f t="shared" si="17"/>
        <v>0.75</v>
      </c>
      <c r="K572" t="str">
        <f>IF(RetailSales[[#This Row],[Age]]&lt;30,"Young Adult",IF(RetailSales[[#This Row],[Age]]&lt;50,"Adult","Senior"))</f>
        <v>Adult</v>
      </c>
      <c r="L572" t="str">
        <f>_xlfn.CONCAT(I572,"_",RetailSales[[#This Row],[Product Category]])</f>
        <v>50_Electronics</v>
      </c>
    </row>
    <row r="573" spans="1:12">
      <c r="A573">
        <v>572</v>
      </c>
      <c r="B573">
        <v>45036</v>
      </c>
      <c r="C573" t="s">
        <v>600</v>
      </c>
      <c r="D573" t="s">
        <v>13</v>
      </c>
      <c r="E573">
        <v>31</v>
      </c>
      <c r="F573" t="s">
        <v>18</v>
      </c>
      <c r="G573">
        <v>4</v>
      </c>
      <c r="H573">
        <v>500</v>
      </c>
      <c r="I573">
        <f t="shared" si="16"/>
        <v>2000</v>
      </c>
      <c r="J573" s="4">
        <f t="shared" si="17"/>
        <v>30</v>
      </c>
      <c r="K573" t="str">
        <f>IF(RetailSales[[#This Row],[Age]]&lt;30,"Young Adult",IF(RetailSales[[#This Row],[Age]]&lt;50,"Adult","Senior"))</f>
        <v>Adult</v>
      </c>
      <c r="L573" t="str">
        <f>_xlfn.CONCAT(I573,"_",RetailSales[[#This Row],[Product Category]])</f>
        <v>2000_Clothing</v>
      </c>
    </row>
    <row r="574" spans="1:12">
      <c r="A574">
        <v>573</v>
      </c>
      <c r="B574">
        <v>45188</v>
      </c>
      <c r="C574" t="s">
        <v>601</v>
      </c>
      <c r="D574" t="s">
        <v>13</v>
      </c>
      <c r="E574">
        <v>49</v>
      </c>
      <c r="F574" t="s">
        <v>14</v>
      </c>
      <c r="G574">
        <v>2</v>
      </c>
      <c r="H574">
        <v>30</v>
      </c>
      <c r="I574">
        <f t="shared" si="16"/>
        <v>60</v>
      </c>
      <c r="J574" s="4">
        <f t="shared" si="17"/>
        <v>0.89999999999999991</v>
      </c>
      <c r="K574" t="str">
        <f>IF(RetailSales[[#This Row],[Age]]&lt;30,"Young Adult",IF(RetailSales[[#This Row],[Age]]&lt;50,"Adult","Senior"))</f>
        <v>Adult</v>
      </c>
      <c r="L574" t="str">
        <f>_xlfn.CONCAT(I574,"_",RetailSales[[#This Row],[Product Category]])</f>
        <v>60_Beauty</v>
      </c>
    </row>
    <row r="575" spans="1:12">
      <c r="A575">
        <v>574</v>
      </c>
      <c r="B575">
        <v>45169</v>
      </c>
      <c r="C575" t="s">
        <v>602</v>
      </c>
      <c r="D575" t="s">
        <v>17</v>
      </c>
      <c r="E575">
        <v>63</v>
      </c>
      <c r="F575" t="s">
        <v>20</v>
      </c>
      <c r="G575">
        <v>2</v>
      </c>
      <c r="H575">
        <v>25</v>
      </c>
      <c r="I575">
        <f t="shared" si="16"/>
        <v>50</v>
      </c>
      <c r="J575" s="4">
        <f t="shared" si="17"/>
        <v>0.75</v>
      </c>
      <c r="K575" t="str">
        <f>IF(RetailSales[[#This Row],[Age]]&lt;30,"Young Adult",IF(RetailSales[[#This Row],[Age]]&lt;50,"Adult","Senior"))</f>
        <v>Senior</v>
      </c>
      <c r="L575" t="str">
        <f>_xlfn.CONCAT(I575,"_",RetailSales[[#This Row],[Product Category]])</f>
        <v>50_Electronics</v>
      </c>
    </row>
    <row r="576" spans="1:12">
      <c r="A576">
        <v>575</v>
      </c>
      <c r="B576">
        <v>45013</v>
      </c>
      <c r="C576" t="s">
        <v>603</v>
      </c>
      <c r="D576" t="s">
        <v>13</v>
      </c>
      <c r="E576">
        <v>60</v>
      </c>
      <c r="F576" t="s">
        <v>18</v>
      </c>
      <c r="G576">
        <v>2</v>
      </c>
      <c r="H576">
        <v>50</v>
      </c>
      <c r="I576">
        <f t="shared" si="16"/>
        <v>100</v>
      </c>
      <c r="J576" s="4">
        <f t="shared" si="17"/>
        <v>1.5</v>
      </c>
      <c r="K576" t="str">
        <f>IF(RetailSales[[#This Row],[Age]]&lt;30,"Young Adult",IF(RetailSales[[#This Row],[Age]]&lt;50,"Adult","Senior"))</f>
        <v>Senior</v>
      </c>
      <c r="L576" t="str">
        <f>_xlfn.CONCAT(I576,"_",RetailSales[[#This Row],[Product Category]])</f>
        <v>100_Clothing</v>
      </c>
    </row>
    <row r="577" spans="1:12">
      <c r="A577">
        <v>576</v>
      </c>
      <c r="B577">
        <v>45264</v>
      </c>
      <c r="C577" t="s">
        <v>604</v>
      </c>
      <c r="D577" t="s">
        <v>17</v>
      </c>
      <c r="E577">
        <v>33</v>
      </c>
      <c r="F577" t="s">
        <v>14</v>
      </c>
      <c r="G577">
        <v>3</v>
      </c>
      <c r="H577">
        <v>50</v>
      </c>
      <c r="I577">
        <f t="shared" si="16"/>
        <v>150</v>
      </c>
      <c r="J577" s="4">
        <f t="shared" si="17"/>
        <v>2.25</v>
      </c>
      <c r="K577" t="str">
        <f>IF(RetailSales[[#This Row],[Age]]&lt;30,"Young Adult",IF(RetailSales[[#This Row],[Age]]&lt;50,"Adult","Senior"))</f>
        <v>Adult</v>
      </c>
      <c r="L577" t="str">
        <f>_xlfn.CONCAT(I577,"_",RetailSales[[#This Row],[Product Category]])</f>
        <v>150_Beauty</v>
      </c>
    </row>
    <row r="578" spans="1:12">
      <c r="A578">
        <v>577</v>
      </c>
      <c r="B578">
        <v>44970</v>
      </c>
      <c r="C578" t="s">
        <v>605</v>
      </c>
      <c r="D578" t="s">
        <v>13</v>
      </c>
      <c r="E578">
        <v>21</v>
      </c>
      <c r="F578" t="s">
        <v>14</v>
      </c>
      <c r="G578">
        <v>4</v>
      </c>
      <c r="H578">
        <v>500</v>
      </c>
      <c r="I578">
        <f t="shared" si="16"/>
        <v>2000</v>
      </c>
      <c r="J578" s="4">
        <f t="shared" si="17"/>
        <v>30</v>
      </c>
      <c r="K578" t="str">
        <f>IF(RetailSales[[#This Row],[Age]]&lt;30,"Young Adult",IF(RetailSales[[#This Row],[Age]]&lt;50,"Adult","Senior"))</f>
        <v>Young Adult</v>
      </c>
      <c r="L578" t="str">
        <f>_xlfn.CONCAT(I578,"_",RetailSales[[#This Row],[Product Category]])</f>
        <v>2000_Beauty</v>
      </c>
    </row>
    <row r="579" spans="1:12">
      <c r="A579">
        <v>578</v>
      </c>
      <c r="B579">
        <v>45072</v>
      </c>
      <c r="C579" t="s">
        <v>606</v>
      </c>
      <c r="D579" t="s">
        <v>17</v>
      </c>
      <c r="E579">
        <v>54</v>
      </c>
      <c r="F579" t="s">
        <v>18</v>
      </c>
      <c r="G579">
        <v>4</v>
      </c>
      <c r="H579">
        <v>30</v>
      </c>
      <c r="I579">
        <f t="shared" ref="I579:I642" si="18">G579*H579</f>
        <v>120</v>
      </c>
      <c r="J579" s="4">
        <f t="shared" ref="J579:J642" si="19">I579*$O$3</f>
        <v>1.7999999999999998</v>
      </c>
      <c r="K579" t="str">
        <f>IF(RetailSales[[#This Row],[Age]]&lt;30,"Young Adult",IF(RetailSales[[#This Row],[Age]]&lt;50,"Adult","Senior"))</f>
        <v>Senior</v>
      </c>
      <c r="L579" t="str">
        <f>_xlfn.CONCAT(I579,"_",RetailSales[[#This Row],[Product Category]])</f>
        <v>120_Clothing</v>
      </c>
    </row>
    <row r="580" spans="1:12">
      <c r="A580">
        <v>579</v>
      </c>
      <c r="B580">
        <v>45190</v>
      </c>
      <c r="C580" t="s">
        <v>607</v>
      </c>
      <c r="D580" t="s">
        <v>17</v>
      </c>
      <c r="E580">
        <v>38</v>
      </c>
      <c r="F580" t="s">
        <v>20</v>
      </c>
      <c r="G580">
        <v>1</v>
      </c>
      <c r="H580">
        <v>30</v>
      </c>
      <c r="I580">
        <f t="shared" si="18"/>
        <v>30</v>
      </c>
      <c r="J580" s="4">
        <f t="shared" si="19"/>
        <v>0.44999999999999996</v>
      </c>
      <c r="K580" t="str">
        <f>IF(RetailSales[[#This Row],[Age]]&lt;30,"Young Adult",IF(RetailSales[[#This Row],[Age]]&lt;50,"Adult","Senior"))</f>
        <v>Adult</v>
      </c>
      <c r="L580" t="str">
        <f>_xlfn.CONCAT(I580,"_",RetailSales[[#This Row],[Product Category]])</f>
        <v>30_Electronics</v>
      </c>
    </row>
    <row r="581" spans="1:12">
      <c r="A581">
        <v>580</v>
      </c>
      <c r="B581">
        <v>45266</v>
      </c>
      <c r="C581" t="s">
        <v>608</v>
      </c>
      <c r="D581" t="s">
        <v>17</v>
      </c>
      <c r="E581">
        <v>31</v>
      </c>
      <c r="F581" t="s">
        <v>18</v>
      </c>
      <c r="G581">
        <v>3</v>
      </c>
      <c r="H581">
        <v>500</v>
      </c>
      <c r="I581">
        <f t="shared" si="18"/>
        <v>1500</v>
      </c>
      <c r="J581" s="4">
        <f t="shared" si="19"/>
        <v>22.5</v>
      </c>
      <c r="K581" t="str">
        <f>IF(RetailSales[[#This Row],[Age]]&lt;30,"Young Adult",IF(RetailSales[[#This Row],[Age]]&lt;50,"Adult","Senior"))</f>
        <v>Adult</v>
      </c>
      <c r="L581" t="str">
        <f>_xlfn.CONCAT(I581,"_",RetailSales[[#This Row],[Product Category]])</f>
        <v>1500_Clothing</v>
      </c>
    </row>
    <row r="582" spans="1:12">
      <c r="A582">
        <v>581</v>
      </c>
      <c r="B582">
        <v>45251</v>
      </c>
      <c r="C582" t="s">
        <v>609</v>
      </c>
      <c r="D582" t="s">
        <v>17</v>
      </c>
      <c r="E582">
        <v>48</v>
      </c>
      <c r="F582" t="s">
        <v>14</v>
      </c>
      <c r="G582">
        <v>2</v>
      </c>
      <c r="H582">
        <v>30</v>
      </c>
      <c r="I582">
        <f t="shared" si="18"/>
        <v>60</v>
      </c>
      <c r="J582" s="4">
        <f t="shared" si="19"/>
        <v>0.89999999999999991</v>
      </c>
      <c r="K582" t="str">
        <f>IF(RetailSales[[#This Row],[Age]]&lt;30,"Young Adult",IF(RetailSales[[#This Row],[Age]]&lt;50,"Adult","Senior"))</f>
        <v>Adult</v>
      </c>
      <c r="L582" t="str">
        <f>_xlfn.CONCAT(I582,"_",RetailSales[[#This Row],[Product Category]])</f>
        <v>60_Beauty</v>
      </c>
    </row>
    <row r="583" spans="1:12">
      <c r="A583">
        <v>582</v>
      </c>
      <c r="B583">
        <v>45244</v>
      </c>
      <c r="C583" t="s">
        <v>610</v>
      </c>
      <c r="D583" t="s">
        <v>13</v>
      </c>
      <c r="E583">
        <v>35</v>
      </c>
      <c r="F583" t="s">
        <v>18</v>
      </c>
      <c r="G583">
        <v>3</v>
      </c>
      <c r="H583">
        <v>300</v>
      </c>
      <c r="I583">
        <f t="shared" si="18"/>
        <v>900</v>
      </c>
      <c r="J583" s="4">
        <f t="shared" si="19"/>
        <v>13.5</v>
      </c>
      <c r="K583" t="str">
        <f>IF(RetailSales[[#This Row],[Age]]&lt;30,"Young Adult",IF(RetailSales[[#This Row],[Age]]&lt;50,"Adult","Senior"))</f>
        <v>Adult</v>
      </c>
      <c r="L583" t="str">
        <f>_xlfn.CONCAT(I583,"_",RetailSales[[#This Row],[Product Category]])</f>
        <v>900_Clothing</v>
      </c>
    </row>
    <row r="584" spans="1:12">
      <c r="A584">
        <v>583</v>
      </c>
      <c r="B584">
        <v>45098</v>
      </c>
      <c r="C584" t="s">
        <v>611</v>
      </c>
      <c r="D584" t="s">
        <v>17</v>
      </c>
      <c r="E584">
        <v>24</v>
      </c>
      <c r="F584" t="s">
        <v>20</v>
      </c>
      <c r="G584">
        <v>4</v>
      </c>
      <c r="H584">
        <v>25</v>
      </c>
      <c r="I584">
        <f t="shared" si="18"/>
        <v>100</v>
      </c>
      <c r="J584" s="4">
        <f t="shared" si="19"/>
        <v>1.5</v>
      </c>
      <c r="K584" t="str">
        <f>IF(RetailSales[[#This Row],[Age]]&lt;30,"Young Adult",IF(RetailSales[[#This Row],[Age]]&lt;50,"Adult","Senior"))</f>
        <v>Young Adult</v>
      </c>
      <c r="L584" t="str">
        <f>_xlfn.CONCAT(I584,"_",RetailSales[[#This Row],[Product Category]])</f>
        <v>100_Electronics</v>
      </c>
    </row>
    <row r="585" spans="1:12">
      <c r="A585">
        <v>584</v>
      </c>
      <c r="B585">
        <v>44974</v>
      </c>
      <c r="C585" t="s">
        <v>612</v>
      </c>
      <c r="D585" t="s">
        <v>17</v>
      </c>
      <c r="E585">
        <v>27</v>
      </c>
      <c r="F585" t="s">
        <v>14</v>
      </c>
      <c r="G585">
        <v>4</v>
      </c>
      <c r="H585">
        <v>50</v>
      </c>
      <c r="I585">
        <f t="shared" si="18"/>
        <v>200</v>
      </c>
      <c r="J585" s="4">
        <f t="shared" si="19"/>
        <v>3</v>
      </c>
      <c r="K585" t="str">
        <f>IF(RetailSales[[#This Row],[Age]]&lt;30,"Young Adult",IF(RetailSales[[#This Row],[Age]]&lt;50,"Adult","Senior"))</f>
        <v>Young Adult</v>
      </c>
      <c r="L585" t="str">
        <f>_xlfn.CONCAT(I585,"_",RetailSales[[#This Row],[Product Category]])</f>
        <v>200_Beauty</v>
      </c>
    </row>
    <row r="586" spans="1:12">
      <c r="A586">
        <v>585</v>
      </c>
      <c r="B586">
        <v>45047</v>
      </c>
      <c r="C586" t="s">
        <v>613</v>
      </c>
      <c r="D586" t="s">
        <v>17</v>
      </c>
      <c r="E586">
        <v>24</v>
      </c>
      <c r="F586" t="s">
        <v>18</v>
      </c>
      <c r="G586">
        <v>1</v>
      </c>
      <c r="H586">
        <v>25</v>
      </c>
      <c r="I586">
        <f t="shared" si="18"/>
        <v>25</v>
      </c>
      <c r="J586" s="4">
        <f t="shared" si="19"/>
        <v>0.375</v>
      </c>
      <c r="K586" t="str">
        <f>IF(RetailSales[[#This Row],[Age]]&lt;30,"Young Adult",IF(RetailSales[[#This Row],[Age]]&lt;50,"Adult","Senior"))</f>
        <v>Young Adult</v>
      </c>
      <c r="L586" t="str">
        <f>_xlfn.CONCAT(I586,"_",RetailSales[[#This Row],[Product Category]])</f>
        <v>25_Clothing</v>
      </c>
    </row>
    <row r="587" spans="1:12">
      <c r="A587">
        <v>586</v>
      </c>
      <c r="B587">
        <v>45271</v>
      </c>
      <c r="C587" t="s">
        <v>614</v>
      </c>
      <c r="D587" t="s">
        <v>13</v>
      </c>
      <c r="E587">
        <v>50</v>
      </c>
      <c r="F587" t="s">
        <v>20</v>
      </c>
      <c r="G587">
        <v>1</v>
      </c>
      <c r="H587">
        <v>50</v>
      </c>
      <c r="I587">
        <f t="shared" si="18"/>
        <v>50</v>
      </c>
      <c r="J587" s="4">
        <f t="shared" si="19"/>
        <v>0.75</v>
      </c>
      <c r="K587" t="str">
        <f>IF(RetailSales[[#This Row],[Age]]&lt;30,"Young Adult",IF(RetailSales[[#This Row],[Age]]&lt;50,"Adult","Senior"))</f>
        <v>Senior</v>
      </c>
      <c r="L587" t="str">
        <f>_xlfn.CONCAT(I587,"_",RetailSales[[#This Row],[Product Category]])</f>
        <v>50_Electronics</v>
      </c>
    </row>
    <row r="588" spans="1:12">
      <c r="A588">
        <v>587</v>
      </c>
      <c r="B588">
        <v>45085</v>
      </c>
      <c r="C588" t="s">
        <v>615</v>
      </c>
      <c r="D588" t="s">
        <v>17</v>
      </c>
      <c r="E588">
        <v>40</v>
      </c>
      <c r="F588" t="s">
        <v>14</v>
      </c>
      <c r="G588">
        <v>4</v>
      </c>
      <c r="H588">
        <v>300</v>
      </c>
      <c r="I588">
        <f t="shared" si="18"/>
        <v>1200</v>
      </c>
      <c r="J588" s="4">
        <f t="shared" si="19"/>
        <v>18</v>
      </c>
      <c r="K588" t="str">
        <f>IF(RetailSales[[#This Row],[Age]]&lt;30,"Young Adult",IF(RetailSales[[#This Row],[Age]]&lt;50,"Adult","Senior"))</f>
        <v>Adult</v>
      </c>
      <c r="L588" t="str">
        <f>_xlfn.CONCAT(I588,"_",RetailSales[[#This Row],[Product Category]])</f>
        <v>1200_Beauty</v>
      </c>
    </row>
    <row r="589" spans="1:12">
      <c r="A589">
        <v>588</v>
      </c>
      <c r="B589">
        <v>45042</v>
      </c>
      <c r="C589" t="s">
        <v>616</v>
      </c>
      <c r="D589" t="s">
        <v>13</v>
      </c>
      <c r="E589">
        <v>38</v>
      </c>
      <c r="F589" t="s">
        <v>20</v>
      </c>
      <c r="G589">
        <v>2</v>
      </c>
      <c r="H589">
        <v>30</v>
      </c>
      <c r="I589">
        <f t="shared" si="18"/>
        <v>60</v>
      </c>
      <c r="J589" s="4">
        <f t="shared" si="19"/>
        <v>0.89999999999999991</v>
      </c>
      <c r="K589" t="str">
        <f>IF(RetailSales[[#This Row],[Age]]&lt;30,"Young Adult",IF(RetailSales[[#This Row],[Age]]&lt;50,"Adult","Senior"))</f>
        <v>Adult</v>
      </c>
      <c r="L589" t="str">
        <f>_xlfn.CONCAT(I589,"_",RetailSales[[#This Row],[Product Category]])</f>
        <v>60_Electronics</v>
      </c>
    </row>
    <row r="590" spans="1:12">
      <c r="A590">
        <v>589</v>
      </c>
      <c r="B590">
        <v>45028</v>
      </c>
      <c r="C590" t="s">
        <v>617</v>
      </c>
      <c r="D590" t="s">
        <v>17</v>
      </c>
      <c r="E590">
        <v>36</v>
      </c>
      <c r="F590" t="s">
        <v>14</v>
      </c>
      <c r="G590">
        <v>2</v>
      </c>
      <c r="H590">
        <v>500</v>
      </c>
      <c r="I590">
        <f t="shared" si="18"/>
        <v>1000</v>
      </c>
      <c r="J590" s="4">
        <f t="shared" si="19"/>
        <v>15</v>
      </c>
      <c r="K590" t="str">
        <f>IF(RetailSales[[#This Row],[Age]]&lt;30,"Young Adult",IF(RetailSales[[#This Row],[Age]]&lt;50,"Adult","Senior"))</f>
        <v>Adult</v>
      </c>
      <c r="L590" t="str">
        <f>_xlfn.CONCAT(I590,"_",RetailSales[[#This Row],[Product Category]])</f>
        <v>1000_Beauty</v>
      </c>
    </row>
    <row r="591" spans="1:12">
      <c r="A591">
        <v>590</v>
      </c>
      <c r="B591">
        <v>45002</v>
      </c>
      <c r="C591" t="s">
        <v>618</v>
      </c>
      <c r="D591" t="s">
        <v>13</v>
      </c>
      <c r="E591">
        <v>36</v>
      </c>
      <c r="F591" t="s">
        <v>18</v>
      </c>
      <c r="G591">
        <v>3</v>
      </c>
      <c r="H591">
        <v>300</v>
      </c>
      <c r="I591">
        <f t="shared" si="18"/>
        <v>900</v>
      </c>
      <c r="J591" s="4">
        <f t="shared" si="19"/>
        <v>13.5</v>
      </c>
      <c r="K591" t="str">
        <f>IF(RetailSales[[#This Row],[Age]]&lt;30,"Young Adult",IF(RetailSales[[#This Row],[Age]]&lt;50,"Adult","Senior"))</f>
        <v>Adult</v>
      </c>
      <c r="L591" t="str">
        <f>_xlfn.CONCAT(I591,"_",RetailSales[[#This Row],[Product Category]])</f>
        <v>900_Clothing</v>
      </c>
    </row>
    <row r="592" spans="1:12">
      <c r="A592">
        <v>591</v>
      </c>
      <c r="B592">
        <v>44939</v>
      </c>
      <c r="C592" t="s">
        <v>619</v>
      </c>
      <c r="D592" t="s">
        <v>13</v>
      </c>
      <c r="E592">
        <v>53</v>
      </c>
      <c r="F592" t="s">
        <v>20</v>
      </c>
      <c r="G592">
        <v>4</v>
      </c>
      <c r="H592">
        <v>25</v>
      </c>
      <c r="I592">
        <f t="shared" si="18"/>
        <v>100</v>
      </c>
      <c r="J592" s="4">
        <f t="shared" si="19"/>
        <v>1.5</v>
      </c>
      <c r="K592" t="str">
        <f>IF(RetailSales[[#This Row],[Age]]&lt;30,"Young Adult",IF(RetailSales[[#This Row],[Age]]&lt;50,"Adult","Senior"))</f>
        <v>Senior</v>
      </c>
      <c r="L592" t="str">
        <f>_xlfn.CONCAT(I592,"_",RetailSales[[#This Row],[Product Category]])</f>
        <v>100_Electronics</v>
      </c>
    </row>
    <row r="593" spans="1:12">
      <c r="A593">
        <v>592</v>
      </c>
      <c r="B593">
        <v>44950</v>
      </c>
      <c r="C593" t="s">
        <v>620</v>
      </c>
      <c r="D593" t="s">
        <v>17</v>
      </c>
      <c r="E593">
        <v>46</v>
      </c>
      <c r="F593" t="s">
        <v>14</v>
      </c>
      <c r="G593">
        <v>4</v>
      </c>
      <c r="H593">
        <v>500</v>
      </c>
      <c r="I593">
        <f t="shared" si="18"/>
        <v>2000</v>
      </c>
      <c r="J593" s="4">
        <f t="shared" si="19"/>
        <v>30</v>
      </c>
      <c r="K593" t="str">
        <f>IF(RetailSales[[#This Row],[Age]]&lt;30,"Young Adult",IF(RetailSales[[#This Row],[Age]]&lt;50,"Adult","Senior"))</f>
        <v>Adult</v>
      </c>
      <c r="L593" t="str">
        <f>_xlfn.CONCAT(I593,"_",RetailSales[[#This Row],[Product Category]])</f>
        <v>2000_Beauty</v>
      </c>
    </row>
    <row r="594" spans="1:12">
      <c r="A594">
        <v>593</v>
      </c>
      <c r="B594">
        <v>45052</v>
      </c>
      <c r="C594" t="s">
        <v>621</v>
      </c>
      <c r="D594" t="s">
        <v>13</v>
      </c>
      <c r="E594">
        <v>35</v>
      </c>
      <c r="F594" t="s">
        <v>20</v>
      </c>
      <c r="G594">
        <v>2</v>
      </c>
      <c r="H594">
        <v>30</v>
      </c>
      <c r="I594">
        <f t="shared" si="18"/>
        <v>60</v>
      </c>
      <c r="J594" s="4">
        <f t="shared" si="19"/>
        <v>0.89999999999999991</v>
      </c>
      <c r="K594" t="str">
        <f>IF(RetailSales[[#This Row],[Age]]&lt;30,"Young Adult",IF(RetailSales[[#This Row],[Age]]&lt;50,"Adult","Senior"))</f>
        <v>Adult</v>
      </c>
      <c r="L594" t="str">
        <f>_xlfn.CONCAT(I594,"_",RetailSales[[#This Row],[Product Category]])</f>
        <v>60_Electronics</v>
      </c>
    </row>
    <row r="595" spans="1:12">
      <c r="A595">
        <v>594</v>
      </c>
      <c r="B595">
        <v>45170</v>
      </c>
      <c r="C595" t="s">
        <v>622</v>
      </c>
      <c r="D595" t="s">
        <v>17</v>
      </c>
      <c r="E595">
        <v>19</v>
      </c>
      <c r="F595" t="s">
        <v>20</v>
      </c>
      <c r="G595">
        <v>2</v>
      </c>
      <c r="H595">
        <v>300</v>
      </c>
      <c r="I595">
        <f t="shared" si="18"/>
        <v>600</v>
      </c>
      <c r="J595" s="4">
        <f t="shared" si="19"/>
        <v>9</v>
      </c>
      <c r="K595" t="str">
        <f>IF(RetailSales[[#This Row],[Age]]&lt;30,"Young Adult",IF(RetailSales[[#This Row],[Age]]&lt;50,"Adult","Senior"))</f>
        <v>Young Adult</v>
      </c>
      <c r="L595" t="str">
        <f>_xlfn.CONCAT(I595,"_",RetailSales[[#This Row],[Product Category]])</f>
        <v>600_Electronics</v>
      </c>
    </row>
    <row r="596" spans="1:12">
      <c r="A596">
        <v>595</v>
      </c>
      <c r="B596">
        <v>45239</v>
      </c>
      <c r="C596" t="s">
        <v>623</v>
      </c>
      <c r="D596" t="s">
        <v>17</v>
      </c>
      <c r="E596">
        <v>18</v>
      </c>
      <c r="F596" t="s">
        <v>18</v>
      </c>
      <c r="G596">
        <v>4</v>
      </c>
      <c r="H596">
        <v>500</v>
      </c>
      <c r="I596">
        <f t="shared" si="18"/>
        <v>2000</v>
      </c>
      <c r="J596" s="4">
        <f t="shared" si="19"/>
        <v>30</v>
      </c>
      <c r="K596" t="str">
        <f>IF(RetailSales[[#This Row],[Age]]&lt;30,"Young Adult",IF(RetailSales[[#This Row],[Age]]&lt;50,"Adult","Senior"))</f>
        <v>Young Adult</v>
      </c>
      <c r="L596" t="str">
        <f>_xlfn.CONCAT(I596,"_",RetailSales[[#This Row],[Product Category]])</f>
        <v>2000_Clothing</v>
      </c>
    </row>
    <row r="597" spans="1:12">
      <c r="A597">
        <v>596</v>
      </c>
      <c r="B597">
        <v>44964</v>
      </c>
      <c r="C597" t="s">
        <v>624</v>
      </c>
      <c r="D597" t="s">
        <v>17</v>
      </c>
      <c r="E597">
        <v>64</v>
      </c>
      <c r="F597" t="s">
        <v>20</v>
      </c>
      <c r="G597">
        <v>1</v>
      </c>
      <c r="H597">
        <v>300</v>
      </c>
      <c r="I597">
        <f t="shared" si="18"/>
        <v>300</v>
      </c>
      <c r="J597" s="4">
        <f t="shared" si="19"/>
        <v>4.5</v>
      </c>
      <c r="K597" t="str">
        <f>IF(RetailSales[[#This Row],[Age]]&lt;30,"Young Adult",IF(RetailSales[[#This Row],[Age]]&lt;50,"Adult","Senior"))</f>
        <v>Senior</v>
      </c>
      <c r="L597" t="str">
        <f>_xlfn.CONCAT(I597,"_",RetailSales[[#This Row],[Product Category]])</f>
        <v>300_Electronics</v>
      </c>
    </row>
    <row r="598" spans="1:12">
      <c r="A598">
        <v>597</v>
      </c>
      <c r="B598">
        <v>45160</v>
      </c>
      <c r="C598" t="s">
        <v>625</v>
      </c>
      <c r="D598" t="s">
        <v>13</v>
      </c>
      <c r="E598">
        <v>22</v>
      </c>
      <c r="F598" t="s">
        <v>14</v>
      </c>
      <c r="G598">
        <v>4</v>
      </c>
      <c r="H598">
        <v>300</v>
      </c>
      <c r="I598">
        <f t="shared" si="18"/>
        <v>1200</v>
      </c>
      <c r="J598" s="4">
        <f t="shared" si="19"/>
        <v>18</v>
      </c>
      <c r="K598" t="str">
        <f>IF(RetailSales[[#This Row],[Age]]&lt;30,"Young Adult",IF(RetailSales[[#This Row],[Age]]&lt;50,"Adult","Senior"))</f>
        <v>Young Adult</v>
      </c>
      <c r="L598" t="str">
        <f>_xlfn.CONCAT(I598,"_",RetailSales[[#This Row],[Product Category]])</f>
        <v>1200_Beauty</v>
      </c>
    </row>
    <row r="599" spans="1:12">
      <c r="A599">
        <v>598</v>
      </c>
      <c r="B599">
        <v>45139</v>
      </c>
      <c r="C599" t="s">
        <v>626</v>
      </c>
      <c r="D599" t="s">
        <v>13</v>
      </c>
      <c r="E599">
        <v>37</v>
      </c>
      <c r="F599" t="s">
        <v>14</v>
      </c>
      <c r="G599">
        <v>4</v>
      </c>
      <c r="H599">
        <v>30</v>
      </c>
      <c r="I599">
        <f t="shared" si="18"/>
        <v>120</v>
      </c>
      <c r="J599" s="4">
        <f t="shared" si="19"/>
        <v>1.7999999999999998</v>
      </c>
      <c r="K599" t="str">
        <f>IF(RetailSales[[#This Row],[Age]]&lt;30,"Young Adult",IF(RetailSales[[#This Row],[Age]]&lt;50,"Adult","Senior"))</f>
        <v>Adult</v>
      </c>
      <c r="L599" t="str">
        <f>_xlfn.CONCAT(I599,"_",RetailSales[[#This Row],[Product Category]])</f>
        <v>120_Beauty</v>
      </c>
    </row>
    <row r="600" spans="1:12">
      <c r="A600">
        <v>599</v>
      </c>
      <c r="B600">
        <v>45249</v>
      </c>
      <c r="C600" t="s">
        <v>627</v>
      </c>
      <c r="D600" t="s">
        <v>17</v>
      </c>
      <c r="E600">
        <v>28</v>
      </c>
      <c r="F600" t="s">
        <v>14</v>
      </c>
      <c r="G600">
        <v>2</v>
      </c>
      <c r="H600">
        <v>50</v>
      </c>
      <c r="I600">
        <f t="shared" si="18"/>
        <v>100</v>
      </c>
      <c r="J600" s="4">
        <f t="shared" si="19"/>
        <v>1.5</v>
      </c>
      <c r="K600" t="str">
        <f>IF(RetailSales[[#This Row],[Age]]&lt;30,"Young Adult",IF(RetailSales[[#This Row],[Age]]&lt;50,"Adult","Senior"))</f>
        <v>Young Adult</v>
      </c>
      <c r="L600" t="str">
        <f>_xlfn.CONCAT(I600,"_",RetailSales[[#This Row],[Product Category]])</f>
        <v>100_Beauty</v>
      </c>
    </row>
    <row r="601" spans="1:12">
      <c r="A601">
        <v>600</v>
      </c>
      <c r="B601">
        <v>45221</v>
      </c>
      <c r="C601" t="s">
        <v>628</v>
      </c>
      <c r="D601" t="s">
        <v>17</v>
      </c>
      <c r="E601">
        <v>59</v>
      </c>
      <c r="F601" t="s">
        <v>14</v>
      </c>
      <c r="G601">
        <v>2</v>
      </c>
      <c r="H601">
        <v>500</v>
      </c>
      <c r="I601">
        <f t="shared" si="18"/>
        <v>1000</v>
      </c>
      <c r="J601" s="4">
        <f t="shared" si="19"/>
        <v>15</v>
      </c>
      <c r="K601" t="str">
        <f>IF(RetailSales[[#This Row],[Age]]&lt;30,"Young Adult",IF(RetailSales[[#This Row],[Age]]&lt;50,"Adult","Senior"))</f>
        <v>Senior</v>
      </c>
      <c r="L601" t="str">
        <f>_xlfn.CONCAT(I601,"_",RetailSales[[#This Row],[Product Category]])</f>
        <v>1000_Beauty</v>
      </c>
    </row>
    <row r="602" spans="1:12">
      <c r="A602">
        <v>601</v>
      </c>
      <c r="B602">
        <v>45026</v>
      </c>
      <c r="C602" t="s">
        <v>629</v>
      </c>
      <c r="D602" t="s">
        <v>13</v>
      </c>
      <c r="E602">
        <v>19</v>
      </c>
      <c r="F602" t="s">
        <v>18</v>
      </c>
      <c r="G602">
        <v>1</v>
      </c>
      <c r="H602">
        <v>30</v>
      </c>
      <c r="I602">
        <f t="shared" si="18"/>
        <v>30</v>
      </c>
      <c r="J602" s="4">
        <f t="shared" si="19"/>
        <v>0.44999999999999996</v>
      </c>
      <c r="K602" t="str">
        <f>IF(RetailSales[[#This Row],[Age]]&lt;30,"Young Adult",IF(RetailSales[[#This Row],[Age]]&lt;50,"Adult","Senior"))</f>
        <v>Young Adult</v>
      </c>
      <c r="L602" t="str">
        <f>_xlfn.CONCAT(I602,"_",RetailSales[[#This Row],[Product Category]])</f>
        <v>30_Clothing</v>
      </c>
    </row>
    <row r="603" spans="1:12">
      <c r="A603">
        <v>602</v>
      </c>
      <c r="B603">
        <v>45283</v>
      </c>
      <c r="C603" t="s">
        <v>630</v>
      </c>
      <c r="D603" t="s">
        <v>17</v>
      </c>
      <c r="E603">
        <v>20</v>
      </c>
      <c r="F603" t="s">
        <v>20</v>
      </c>
      <c r="G603">
        <v>1</v>
      </c>
      <c r="H603">
        <v>300</v>
      </c>
      <c r="I603">
        <f t="shared" si="18"/>
        <v>300</v>
      </c>
      <c r="J603" s="4">
        <f t="shared" si="19"/>
        <v>4.5</v>
      </c>
      <c r="K603" t="str">
        <f>IF(RetailSales[[#This Row],[Age]]&lt;30,"Young Adult",IF(RetailSales[[#This Row],[Age]]&lt;50,"Adult","Senior"))</f>
        <v>Young Adult</v>
      </c>
      <c r="L603" t="str">
        <f>_xlfn.CONCAT(I603,"_",RetailSales[[#This Row],[Product Category]])</f>
        <v>300_Electronics</v>
      </c>
    </row>
    <row r="604" spans="1:12">
      <c r="A604">
        <v>603</v>
      </c>
      <c r="B604">
        <v>45123</v>
      </c>
      <c r="C604" t="s">
        <v>631</v>
      </c>
      <c r="D604" t="s">
        <v>17</v>
      </c>
      <c r="E604">
        <v>40</v>
      </c>
      <c r="F604" t="s">
        <v>18</v>
      </c>
      <c r="G604">
        <v>3</v>
      </c>
      <c r="H604">
        <v>30</v>
      </c>
      <c r="I604">
        <f t="shared" si="18"/>
        <v>90</v>
      </c>
      <c r="J604" s="4">
        <f t="shared" si="19"/>
        <v>1.3499999999999999</v>
      </c>
      <c r="K604" t="str">
        <f>IF(RetailSales[[#This Row],[Age]]&lt;30,"Young Adult",IF(RetailSales[[#This Row],[Age]]&lt;50,"Adult","Senior"))</f>
        <v>Adult</v>
      </c>
      <c r="L604" t="str">
        <f>_xlfn.CONCAT(I604,"_",RetailSales[[#This Row],[Product Category]])</f>
        <v>90_Clothing</v>
      </c>
    </row>
    <row r="605" spans="1:12">
      <c r="A605">
        <v>604</v>
      </c>
      <c r="B605">
        <v>45180</v>
      </c>
      <c r="C605" t="s">
        <v>632</v>
      </c>
      <c r="D605" t="s">
        <v>17</v>
      </c>
      <c r="E605">
        <v>29</v>
      </c>
      <c r="F605" t="s">
        <v>20</v>
      </c>
      <c r="G605">
        <v>4</v>
      </c>
      <c r="H605">
        <v>50</v>
      </c>
      <c r="I605">
        <f t="shared" si="18"/>
        <v>200</v>
      </c>
      <c r="J605" s="4">
        <f t="shared" si="19"/>
        <v>3</v>
      </c>
      <c r="K605" t="str">
        <f>IF(RetailSales[[#This Row],[Age]]&lt;30,"Young Adult",IF(RetailSales[[#This Row],[Age]]&lt;50,"Adult","Senior"))</f>
        <v>Young Adult</v>
      </c>
      <c r="L605" t="str">
        <f>_xlfn.CONCAT(I605,"_",RetailSales[[#This Row],[Product Category]])</f>
        <v>200_Electronics</v>
      </c>
    </row>
    <row r="606" spans="1:12">
      <c r="A606">
        <v>605</v>
      </c>
      <c r="B606">
        <v>45131</v>
      </c>
      <c r="C606" t="s">
        <v>633</v>
      </c>
      <c r="D606" t="s">
        <v>13</v>
      </c>
      <c r="E606">
        <v>37</v>
      </c>
      <c r="F606" t="s">
        <v>20</v>
      </c>
      <c r="G606">
        <v>2</v>
      </c>
      <c r="H606">
        <v>500</v>
      </c>
      <c r="I606">
        <f t="shared" si="18"/>
        <v>1000</v>
      </c>
      <c r="J606" s="4">
        <f t="shared" si="19"/>
        <v>15</v>
      </c>
      <c r="K606" t="str">
        <f>IF(RetailSales[[#This Row],[Age]]&lt;30,"Young Adult",IF(RetailSales[[#This Row],[Age]]&lt;50,"Adult","Senior"))</f>
        <v>Adult</v>
      </c>
      <c r="L606" t="str">
        <f>_xlfn.CONCAT(I606,"_",RetailSales[[#This Row],[Product Category]])</f>
        <v>1000_Electronics</v>
      </c>
    </row>
    <row r="607" spans="1:12">
      <c r="A607">
        <v>606</v>
      </c>
      <c r="B607">
        <v>45051</v>
      </c>
      <c r="C607" t="s">
        <v>634</v>
      </c>
      <c r="D607" t="s">
        <v>13</v>
      </c>
      <c r="E607">
        <v>22</v>
      </c>
      <c r="F607" t="s">
        <v>20</v>
      </c>
      <c r="G607">
        <v>1</v>
      </c>
      <c r="H607">
        <v>50</v>
      </c>
      <c r="I607">
        <f t="shared" si="18"/>
        <v>50</v>
      </c>
      <c r="J607" s="4">
        <f t="shared" si="19"/>
        <v>0.75</v>
      </c>
      <c r="K607" t="str">
        <f>IF(RetailSales[[#This Row],[Age]]&lt;30,"Young Adult",IF(RetailSales[[#This Row],[Age]]&lt;50,"Adult","Senior"))</f>
        <v>Young Adult</v>
      </c>
      <c r="L607" t="str">
        <f>_xlfn.CONCAT(I607,"_",RetailSales[[#This Row],[Product Category]])</f>
        <v>50_Electronics</v>
      </c>
    </row>
    <row r="608" spans="1:12">
      <c r="A608">
        <v>607</v>
      </c>
      <c r="B608">
        <v>45002</v>
      </c>
      <c r="C608" t="s">
        <v>635</v>
      </c>
      <c r="D608" t="s">
        <v>13</v>
      </c>
      <c r="E608">
        <v>54</v>
      </c>
      <c r="F608" t="s">
        <v>18</v>
      </c>
      <c r="G608">
        <v>3</v>
      </c>
      <c r="H608">
        <v>25</v>
      </c>
      <c r="I608">
        <f t="shared" si="18"/>
        <v>75</v>
      </c>
      <c r="J608" s="4">
        <f t="shared" si="19"/>
        <v>1.125</v>
      </c>
      <c r="K608" t="str">
        <f>IF(RetailSales[[#This Row],[Age]]&lt;30,"Young Adult",IF(RetailSales[[#This Row],[Age]]&lt;50,"Adult","Senior"))</f>
        <v>Senior</v>
      </c>
      <c r="L608" t="str">
        <f>_xlfn.CONCAT(I608,"_",RetailSales[[#This Row],[Product Category]])</f>
        <v>75_Clothing</v>
      </c>
    </row>
    <row r="609" spans="1:12">
      <c r="A609">
        <v>608</v>
      </c>
      <c r="B609">
        <v>45262</v>
      </c>
      <c r="C609" t="s">
        <v>636</v>
      </c>
      <c r="D609" t="s">
        <v>17</v>
      </c>
      <c r="E609">
        <v>55</v>
      </c>
      <c r="F609" t="s">
        <v>20</v>
      </c>
      <c r="G609">
        <v>3</v>
      </c>
      <c r="H609">
        <v>500</v>
      </c>
      <c r="I609">
        <f t="shared" si="18"/>
        <v>1500</v>
      </c>
      <c r="J609" s="4">
        <f t="shared" si="19"/>
        <v>22.5</v>
      </c>
      <c r="K609" t="str">
        <f>IF(RetailSales[[#This Row],[Age]]&lt;30,"Young Adult",IF(RetailSales[[#This Row],[Age]]&lt;50,"Adult","Senior"))</f>
        <v>Senior</v>
      </c>
      <c r="L609" t="str">
        <f>_xlfn.CONCAT(I609,"_",RetailSales[[#This Row],[Product Category]])</f>
        <v>1500_Electronics</v>
      </c>
    </row>
    <row r="610" spans="1:12">
      <c r="A610">
        <v>609</v>
      </c>
      <c r="B610">
        <v>45279</v>
      </c>
      <c r="C610" t="s">
        <v>637</v>
      </c>
      <c r="D610" t="s">
        <v>17</v>
      </c>
      <c r="E610">
        <v>47</v>
      </c>
      <c r="F610" t="s">
        <v>18</v>
      </c>
      <c r="G610">
        <v>2</v>
      </c>
      <c r="H610">
        <v>50</v>
      </c>
      <c r="I610">
        <f t="shared" si="18"/>
        <v>100</v>
      </c>
      <c r="J610" s="4">
        <f t="shared" si="19"/>
        <v>1.5</v>
      </c>
      <c r="K610" t="str">
        <f>IF(RetailSales[[#This Row],[Age]]&lt;30,"Young Adult",IF(RetailSales[[#This Row],[Age]]&lt;50,"Adult","Senior"))</f>
        <v>Adult</v>
      </c>
      <c r="L610" t="str">
        <f>_xlfn.CONCAT(I610,"_",RetailSales[[#This Row],[Product Category]])</f>
        <v>100_Clothing</v>
      </c>
    </row>
    <row r="611" spans="1:12">
      <c r="A611">
        <v>610</v>
      </c>
      <c r="B611">
        <v>44929</v>
      </c>
      <c r="C611" t="s">
        <v>638</v>
      </c>
      <c r="D611" t="s">
        <v>17</v>
      </c>
      <c r="E611">
        <v>26</v>
      </c>
      <c r="F611" t="s">
        <v>14</v>
      </c>
      <c r="G611">
        <v>2</v>
      </c>
      <c r="H611">
        <v>300</v>
      </c>
      <c r="I611">
        <f t="shared" si="18"/>
        <v>600</v>
      </c>
      <c r="J611" s="4">
        <f t="shared" si="19"/>
        <v>9</v>
      </c>
      <c r="K611" t="str">
        <f>IF(RetailSales[[#This Row],[Age]]&lt;30,"Young Adult",IF(RetailSales[[#This Row],[Age]]&lt;50,"Adult","Senior"))</f>
        <v>Young Adult</v>
      </c>
      <c r="L611" t="str">
        <f>_xlfn.CONCAT(I611,"_",RetailSales[[#This Row],[Product Category]])</f>
        <v>600_Beauty</v>
      </c>
    </row>
    <row r="612" spans="1:12">
      <c r="A612">
        <v>611</v>
      </c>
      <c r="B612">
        <v>44981</v>
      </c>
      <c r="C612" t="s">
        <v>639</v>
      </c>
      <c r="D612" t="s">
        <v>13</v>
      </c>
      <c r="E612">
        <v>51</v>
      </c>
      <c r="F612" t="s">
        <v>14</v>
      </c>
      <c r="G612">
        <v>3</v>
      </c>
      <c r="H612">
        <v>500</v>
      </c>
      <c r="I612">
        <f t="shared" si="18"/>
        <v>1500</v>
      </c>
      <c r="J612" s="4">
        <f t="shared" si="19"/>
        <v>22.5</v>
      </c>
      <c r="K612" t="str">
        <f>IF(RetailSales[[#This Row],[Age]]&lt;30,"Young Adult",IF(RetailSales[[#This Row],[Age]]&lt;50,"Adult","Senior"))</f>
        <v>Senior</v>
      </c>
      <c r="L612" t="str">
        <f>_xlfn.CONCAT(I612,"_",RetailSales[[#This Row],[Product Category]])</f>
        <v>1500_Beauty</v>
      </c>
    </row>
    <row r="613" spans="1:12">
      <c r="A613">
        <v>612</v>
      </c>
      <c r="B613">
        <v>45144</v>
      </c>
      <c r="C613" t="s">
        <v>640</v>
      </c>
      <c r="D613" t="s">
        <v>17</v>
      </c>
      <c r="E613">
        <v>61</v>
      </c>
      <c r="F613" t="s">
        <v>20</v>
      </c>
      <c r="G613">
        <v>1</v>
      </c>
      <c r="H613">
        <v>500</v>
      </c>
      <c r="I613">
        <f t="shared" si="18"/>
        <v>500</v>
      </c>
      <c r="J613" s="4">
        <f t="shared" si="19"/>
        <v>7.5</v>
      </c>
      <c r="K613" t="str">
        <f>IF(RetailSales[[#This Row],[Age]]&lt;30,"Young Adult",IF(RetailSales[[#This Row],[Age]]&lt;50,"Adult","Senior"))</f>
        <v>Senior</v>
      </c>
      <c r="L613" t="str">
        <f>_xlfn.CONCAT(I613,"_",RetailSales[[#This Row],[Product Category]])</f>
        <v>500_Electronics</v>
      </c>
    </row>
    <row r="614" spans="1:12">
      <c r="A614">
        <v>613</v>
      </c>
      <c r="B614">
        <v>45039</v>
      </c>
      <c r="C614" t="s">
        <v>641</v>
      </c>
      <c r="D614" t="s">
        <v>17</v>
      </c>
      <c r="E614">
        <v>52</v>
      </c>
      <c r="F614" t="s">
        <v>18</v>
      </c>
      <c r="G614">
        <v>3</v>
      </c>
      <c r="H614">
        <v>30</v>
      </c>
      <c r="I614">
        <f t="shared" si="18"/>
        <v>90</v>
      </c>
      <c r="J614" s="4">
        <f t="shared" si="19"/>
        <v>1.3499999999999999</v>
      </c>
      <c r="K614" t="str">
        <f>IF(RetailSales[[#This Row],[Age]]&lt;30,"Young Adult",IF(RetailSales[[#This Row],[Age]]&lt;50,"Adult","Senior"))</f>
        <v>Senior</v>
      </c>
      <c r="L614" t="str">
        <f>_xlfn.CONCAT(I614,"_",RetailSales[[#This Row],[Product Category]])</f>
        <v>90_Clothing</v>
      </c>
    </row>
    <row r="615" spans="1:12">
      <c r="A615">
        <v>614</v>
      </c>
      <c r="B615">
        <v>45017</v>
      </c>
      <c r="C615" t="s">
        <v>642</v>
      </c>
      <c r="D615" t="s">
        <v>17</v>
      </c>
      <c r="E615">
        <v>39</v>
      </c>
      <c r="F615" t="s">
        <v>14</v>
      </c>
      <c r="G615">
        <v>4</v>
      </c>
      <c r="H615">
        <v>300</v>
      </c>
      <c r="I615">
        <f t="shared" si="18"/>
        <v>1200</v>
      </c>
      <c r="J615" s="4">
        <f t="shared" si="19"/>
        <v>18</v>
      </c>
      <c r="K615" t="str">
        <f>IF(RetailSales[[#This Row],[Age]]&lt;30,"Young Adult",IF(RetailSales[[#This Row],[Age]]&lt;50,"Adult","Senior"))</f>
        <v>Adult</v>
      </c>
      <c r="L615" t="str">
        <f>_xlfn.CONCAT(I615,"_",RetailSales[[#This Row],[Product Category]])</f>
        <v>1200_Beauty</v>
      </c>
    </row>
    <row r="616" spans="1:12">
      <c r="A616">
        <v>615</v>
      </c>
      <c r="B616">
        <v>45283</v>
      </c>
      <c r="C616" t="s">
        <v>643</v>
      </c>
      <c r="D616" t="s">
        <v>17</v>
      </c>
      <c r="E616">
        <v>61</v>
      </c>
      <c r="F616" t="s">
        <v>18</v>
      </c>
      <c r="G616">
        <v>4</v>
      </c>
      <c r="H616">
        <v>25</v>
      </c>
      <c r="I616">
        <f t="shared" si="18"/>
        <v>100</v>
      </c>
      <c r="J616" s="4">
        <f t="shared" si="19"/>
        <v>1.5</v>
      </c>
      <c r="K616" t="str">
        <f>IF(RetailSales[[#This Row],[Age]]&lt;30,"Young Adult",IF(RetailSales[[#This Row],[Age]]&lt;50,"Adult","Senior"))</f>
        <v>Senior</v>
      </c>
      <c r="L616" t="str">
        <f>_xlfn.CONCAT(I616,"_",RetailSales[[#This Row],[Product Category]])</f>
        <v>100_Clothing</v>
      </c>
    </row>
    <row r="617" spans="1:12">
      <c r="A617">
        <v>616</v>
      </c>
      <c r="B617">
        <v>45192</v>
      </c>
      <c r="C617" t="s">
        <v>644</v>
      </c>
      <c r="D617" t="s">
        <v>13</v>
      </c>
      <c r="E617">
        <v>41</v>
      </c>
      <c r="F617" t="s">
        <v>18</v>
      </c>
      <c r="G617">
        <v>2</v>
      </c>
      <c r="H617">
        <v>50</v>
      </c>
      <c r="I617">
        <f t="shared" si="18"/>
        <v>100</v>
      </c>
      <c r="J617" s="4">
        <f t="shared" si="19"/>
        <v>1.5</v>
      </c>
      <c r="K617" t="str">
        <f>IF(RetailSales[[#This Row],[Age]]&lt;30,"Young Adult",IF(RetailSales[[#This Row],[Age]]&lt;50,"Adult","Senior"))</f>
        <v>Adult</v>
      </c>
      <c r="L617" t="str">
        <f>_xlfn.CONCAT(I617,"_",RetailSales[[#This Row],[Product Category]])</f>
        <v>100_Clothing</v>
      </c>
    </row>
    <row r="618" spans="1:12">
      <c r="A618">
        <v>617</v>
      </c>
      <c r="B618">
        <v>45164</v>
      </c>
      <c r="C618" t="s">
        <v>645</v>
      </c>
      <c r="D618" t="s">
        <v>13</v>
      </c>
      <c r="E618">
        <v>34</v>
      </c>
      <c r="F618" t="s">
        <v>20</v>
      </c>
      <c r="G618">
        <v>1</v>
      </c>
      <c r="H618">
        <v>30</v>
      </c>
      <c r="I618">
        <f t="shared" si="18"/>
        <v>30</v>
      </c>
      <c r="J618" s="4">
        <f t="shared" si="19"/>
        <v>0.44999999999999996</v>
      </c>
      <c r="K618" t="str">
        <f>IF(RetailSales[[#This Row],[Age]]&lt;30,"Young Adult",IF(RetailSales[[#This Row],[Age]]&lt;50,"Adult","Senior"))</f>
        <v>Adult</v>
      </c>
      <c r="L618" t="str">
        <f>_xlfn.CONCAT(I618,"_",RetailSales[[#This Row],[Product Category]])</f>
        <v>30_Electronics</v>
      </c>
    </row>
    <row r="619" spans="1:12">
      <c r="A619">
        <v>618</v>
      </c>
      <c r="B619">
        <v>44952</v>
      </c>
      <c r="C619" t="s">
        <v>646</v>
      </c>
      <c r="D619" t="s">
        <v>17</v>
      </c>
      <c r="E619">
        <v>27</v>
      </c>
      <c r="F619" t="s">
        <v>14</v>
      </c>
      <c r="G619">
        <v>1</v>
      </c>
      <c r="H619">
        <v>50</v>
      </c>
      <c r="I619">
        <f t="shared" si="18"/>
        <v>50</v>
      </c>
      <c r="J619" s="4">
        <f t="shared" si="19"/>
        <v>0.75</v>
      </c>
      <c r="K619" t="str">
        <f>IF(RetailSales[[#This Row],[Age]]&lt;30,"Young Adult",IF(RetailSales[[#This Row],[Age]]&lt;50,"Adult","Senior"))</f>
        <v>Young Adult</v>
      </c>
      <c r="L619" t="str">
        <f>_xlfn.CONCAT(I619,"_",RetailSales[[#This Row],[Product Category]])</f>
        <v>50_Beauty</v>
      </c>
    </row>
    <row r="620" spans="1:12">
      <c r="A620">
        <v>619</v>
      </c>
      <c r="B620">
        <v>45212</v>
      </c>
      <c r="C620" t="s">
        <v>647</v>
      </c>
      <c r="D620" t="s">
        <v>13</v>
      </c>
      <c r="E620">
        <v>47</v>
      </c>
      <c r="F620" t="s">
        <v>20</v>
      </c>
      <c r="G620">
        <v>4</v>
      </c>
      <c r="H620">
        <v>25</v>
      </c>
      <c r="I620">
        <f t="shared" si="18"/>
        <v>100</v>
      </c>
      <c r="J620" s="4">
        <f t="shared" si="19"/>
        <v>1.5</v>
      </c>
      <c r="K620" t="str">
        <f>IF(RetailSales[[#This Row],[Age]]&lt;30,"Young Adult",IF(RetailSales[[#This Row],[Age]]&lt;50,"Adult","Senior"))</f>
        <v>Adult</v>
      </c>
      <c r="L620" t="str">
        <f>_xlfn.CONCAT(I620,"_",RetailSales[[#This Row],[Product Category]])</f>
        <v>100_Electronics</v>
      </c>
    </row>
    <row r="621" spans="1:12">
      <c r="A621">
        <v>620</v>
      </c>
      <c r="B621">
        <v>45054</v>
      </c>
      <c r="C621" t="s">
        <v>648</v>
      </c>
      <c r="D621" t="s">
        <v>13</v>
      </c>
      <c r="E621">
        <v>63</v>
      </c>
      <c r="F621" t="s">
        <v>20</v>
      </c>
      <c r="G621">
        <v>3</v>
      </c>
      <c r="H621">
        <v>25</v>
      </c>
      <c r="I621">
        <f t="shared" si="18"/>
        <v>75</v>
      </c>
      <c r="J621" s="4">
        <f t="shared" si="19"/>
        <v>1.125</v>
      </c>
      <c r="K621" t="str">
        <f>IF(RetailSales[[#This Row],[Age]]&lt;30,"Young Adult",IF(RetailSales[[#This Row],[Age]]&lt;50,"Adult","Senior"))</f>
        <v>Senior</v>
      </c>
      <c r="L621" t="str">
        <f>_xlfn.CONCAT(I621,"_",RetailSales[[#This Row],[Product Category]])</f>
        <v>75_Electronics</v>
      </c>
    </row>
    <row r="622" spans="1:12">
      <c r="A622">
        <v>621</v>
      </c>
      <c r="B622">
        <v>44989</v>
      </c>
      <c r="C622" t="s">
        <v>649</v>
      </c>
      <c r="D622" t="s">
        <v>17</v>
      </c>
      <c r="E622">
        <v>40</v>
      </c>
      <c r="F622" t="s">
        <v>14</v>
      </c>
      <c r="G622">
        <v>2</v>
      </c>
      <c r="H622">
        <v>500</v>
      </c>
      <c r="I622">
        <f t="shared" si="18"/>
        <v>1000</v>
      </c>
      <c r="J622" s="4">
        <f t="shared" si="19"/>
        <v>15</v>
      </c>
      <c r="K622" t="str">
        <f>IF(RetailSales[[#This Row],[Age]]&lt;30,"Young Adult",IF(RetailSales[[#This Row],[Age]]&lt;50,"Adult","Senior"))</f>
        <v>Adult</v>
      </c>
      <c r="L622" t="str">
        <f>_xlfn.CONCAT(I622,"_",RetailSales[[#This Row],[Product Category]])</f>
        <v>1000_Beauty</v>
      </c>
    </row>
    <row r="623" spans="1:12">
      <c r="A623">
        <v>622</v>
      </c>
      <c r="B623">
        <v>45160</v>
      </c>
      <c r="C623" t="s">
        <v>650</v>
      </c>
      <c r="D623" t="s">
        <v>17</v>
      </c>
      <c r="E623">
        <v>49</v>
      </c>
      <c r="F623" t="s">
        <v>14</v>
      </c>
      <c r="G623">
        <v>3</v>
      </c>
      <c r="H623">
        <v>25</v>
      </c>
      <c r="I623">
        <f t="shared" si="18"/>
        <v>75</v>
      </c>
      <c r="J623" s="4">
        <f t="shared" si="19"/>
        <v>1.125</v>
      </c>
      <c r="K623" t="str">
        <f>IF(RetailSales[[#This Row],[Age]]&lt;30,"Young Adult",IF(RetailSales[[#This Row],[Age]]&lt;50,"Adult","Senior"))</f>
        <v>Adult</v>
      </c>
      <c r="L623" t="str">
        <f>_xlfn.CONCAT(I623,"_",RetailSales[[#This Row],[Product Category]])</f>
        <v>75_Beauty</v>
      </c>
    </row>
    <row r="624" spans="1:12">
      <c r="A624">
        <v>623</v>
      </c>
      <c r="B624">
        <v>44995</v>
      </c>
      <c r="C624" t="s">
        <v>651</v>
      </c>
      <c r="D624" t="s">
        <v>13</v>
      </c>
      <c r="E624">
        <v>34</v>
      </c>
      <c r="F624" t="s">
        <v>18</v>
      </c>
      <c r="G624">
        <v>3</v>
      </c>
      <c r="H624">
        <v>50</v>
      </c>
      <c r="I624">
        <f t="shared" si="18"/>
        <v>150</v>
      </c>
      <c r="J624" s="4">
        <f t="shared" si="19"/>
        <v>2.25</v>
      </c>
      <c r="K624" t="str">
        <f>IF(RetailSales[[#This Row],[Age]]&lt;30,"Young Adult",IF(RetailSales[[#This Row],[Age]]&lt;50,"Adult","Senior"))</f>
        <v>Adult</v>
      </c>
      <c r="L624" t="str">
        <f>_xlfn.CONCAT(I624,"_",RetailSales[[#This Row],[Product Category]])</f>
        <v>150_Clothing</v>
      </c>
    </row>
    <row r="625" spans="1:12">
      <c r="A625">
        <v>624</v>
      </c>
      <c r="B625">
        <v>45164</v>
      </c>
      <c r="C625" t="s">
        <v>652</v>
      </c>
      <c r="D625" t="s">
        <v>17</v>
      </c>
      <c r="E625">
        <v>34</v>
      </c>
      <c r="F625" t="s">
        <v>14</v>
      </c>
      <c r="G625">
        <v>3</v>
      </c>
      <c r="H625">
        <v>300</v>
      </c>
      <c r="I625">
        <f t="shared" si="18"/>
        <v>900</v>
      </c>
      <c r="J625" s="4">
        <f t="shared" si="19"/>
        <v>13.5</v>
      </c>
      <c r="K625" t="str">
        <f>IF(RetailSales[[#This Row],[Age]]&lt;30,"Young Adult",IF(RetailSales[[#This Row],[Age]]&lt;50,"Adult","Senior"))</f>
        <v>Adult</v>
      </c>
      <c r="L625" t="str">
        <f>_xlfn.CONCAT(I625,"_",RetailSales[[#This Row],[Product Category]])</f>
        <v>900_Beauty</v>
      </c>
    </row>
    <row r="626" spans="1:12">
      <c r="A626">
        <v>625</v>
      </c>
      <c r="B626">
        <v>45268</v>
      </c>
      <c r="C626" t="s">
        <v>653</v>
      </c>
      <c r="D626" t="s">
        <v>13</v>
      </c>
      <c r="E626">
        <v>31</v>
      </c>
      <c r="F626" t="s">
        <v>18</v>
      </c>
      <c r="G626">
        <v>1</v>
      </c>
      <c r="H626">
        <v>300</v>
      </c>
      <c r="I626">
        <f t="shared" si="18"/>
        <v>300</v>
      </c>
      <c r="J626" s="4">
        <f t="shared" si="19"/>
        <v>4.5</v>
      </c>
      <c r="K626" t="str">
        <f>IF(RetailSales[[#This Row],[Age]]&lt;30,"Young Adult",IF(RetailSales[[#This Row],[Age]]&lt;50,"Adult","Senior"))</f>
        <v>Adult</v>
      </c>
      <c r="L626" t="str">
        <f>_xlfn.CONCAT(I626,"_",RetailSales[[#This Row],[Product Category]])</f>
        <v>300_Clothing</v>
      </c>
    </row>
    <row r="627" spans="1:12">
      <c r="A627">
        <v>626</v>
      </c>
      <c r="B627">
        <v>45198</v>
      </c>
      <c r="C627" t="s">
        <v>654</v>
      </c>
      <c r="D627" t="s">
        <v>17</v>
      </c>
      <c r="E627">
        <v>26</v>
      </c>
      <c r="F627" t="s">
        <v>18</v>
      </c>
      <c r="G627">
        <v>4</v>
      </c>
      <c r="H627">
        <v>500</v>
      </c>
      <c r="I627">
        <f t="shared" si="18"/>
        <v>2000</v>
      </c>
      <c r="J627" s="4">
        <f t="shared" si="19"/>
        <v>30</v>
      </c>
      <c r="K627" t="str">
        <f>IF(RetailSales[[#This Row],[Age]]&lt;30,"Young Adult",IF(RetailSales[[#This Row],[Age]]&lt;50,"Adult","Senior"))</f>
        <v>Young Adult</v>
      </c>
      <c r="L627" t="str">
        <f>_xlfn.CONCAT(I627,"_",RetailSales[[#This Row],[Product Category]])</f>
        <v>2000_Clothing</v>
      </c>
    </row>
    <row r="628" spans="1:12">
      <c r="A628">
        <v>627</v>
      </c>
      <c r="B628">
        <v>45213</v>
      </c>
      <c r="C628" t="s">
        <v>655</v>
      </c>
      <c r="D628" t="s">
        <v>13</v>
      </c>
      <c r="E628">
        <v>57</v>
      </c>
      <c r="F628" t="s">
        <v>18</v>
      </c>
      <c r="G628">
        <v>1</v>
      </c>
      <c r="H628">
        <v>50</v>
      </c>
      <c r="I628">
        <f t="shared" si="18"/>
        <v>50</v>
      </c>
      <c r="J628" s="4">
        <f t="shared" si="19"/>
        <v>0.75</v>
      </c>
      <c r="K628" t="str">
        <f>IF(RetailSales[[#This Row],[Age]]&lt;30,"Young Adult",IF(RetailSales[[#This Row],[Age]]&lt;50,"Adult","Senior"))</f>
        <v>Senior</v>
      </c>
      <c r="L628" t="str">
        <f>_xlfn.CONCAT(I628,"_",RetailSales[[#This Row],[Product Category]])</f>
        <v>50_Clothing</v>
      </c>
    </row>
    <row r="629" spans="1:12">
      <c r="A629">
        <v>628</v>
      </c>
      <c r="B629">
        <v>45231</v>
      </c>
      <c r="C629" t="s">
        <v>656</v>
      </c>
      <c r="D629" t="s">
        <v>17</v>
      </c>
      <c r="E629">
        <v>19</v>
      </c>
      <c r="F629" t="s">
        <v>14</v>
      </c>
      <c r="G629">
        <v>4</v>
      </c>
      <c r="H629">
        <v>50</v>
      </c>
      <c r="I629">
        <f t="shared" si="18"/>
        <v>200</v>
      </c>
      <c r="J629" s="4">
        <f t="shared" si="19"/>
        <v>3</v>
      </c>
      <c r="K629" t="str">
        <f>IF(RetailSales[[#This Row],[Age]]&lt;30,"Young Adult",IF(RetailSales[[#This Row],[Age]]&lt;50,"Adult","Senior"))</f>
        <v>Young Adult</v>
      </c>
      <c r="L629" t="str">
        <f>_xlfn.CONCAT(I629,"_",RetailSales[[#This Row],[Product Category]])</f>
        <v>200_Beauty</v>
      </c>
    </row>
    <row r="630" spans="1:12">
      <c r="A630">
        <v>629</v>
      </c>
      <c r="B630">
        <v>45089</v>
      </c>
      <c r="C630" t="s">
        <v>657</v>
      </c>
      <c r="D630" t="s">
        <v>13</v>
      </c>
      <c r="E630">
        <v>62</v>
      </c>
      <c r="F630" t="s">
        <v>20</v>
      </c>
      <c r="G630">
        <v>2</v>
      </c>
      <c r="H630">
        <v>25</v>
      </c>
      <c r="I630">
        <f t="shared" si="18"/>
        <v>50</v>
      </c>
      <c r="J630" s="4">
        <f t="shared" si="19"/>
        <v>0.75</v>
      </c>
      <c r="K630" t="str">
        <f>IF(RetailSales[[#This Row],[Age]]&lt;30,"Young Adult",IF(RetailSales[[#This Row],[Age]]&lt;50,"Adult","Senior"))</f>
        <v>Senior</v>
      </c>
      <c r="L630" t="str">
        <f>_xlfn.CONCAT(I630,"_",RetailSales[[#This Row],[Product Category]])</f>
        <v>50_Electronics</v>
      </c>
    </row>
    <row r="631" spans="1:12">
      <c r="A631">
        <v>630</v>
      </c>
      <c r="B631">
        <v>45153</v>
      </c>
      <c r="C631" t="s">
        <v>658</v>
      </c>
      <c r="D631" t="s">
        <v>13</v>
      </c>
      <c r="E631">
        <v>42</v>
      </c>
      <c r="F631" t="s">
        <v>18</v>
      </c>
      <c r="G631">
        <v>2</v>
      </c>
      <c r="H631">
        <v>50</v>
      </c>
      <c r="I631">
        <f t="shared" si="18"/>
        <v>100</v>
      </c>
      <c r="J631" s="4">
        <f t="shared" si="19"/>
        <v>1.5</v>
      </c>
      <c r="K631" t="str">
        <f>IF(RetailSales[[#This Row],[Age]]&lt;30,"Young Adult",IF(RetailSales[[#This Row],[Age]]&lt;50,"Adult","Senior"))</f>
        <v>Adult</v>
      </c>
      <c r="L631" t="str">
        <f>_xlfn.CONCAT(I631,"_",RetailSales[[#This Row],[Product Category]])</f>
        <v>100_Clothing</v>
      </c>
    </row>
    <row r="632" spans="1:12">
      <c r="A632">
        <v>631</v>
      </c>
      <c r="B632">
        <v>45240</v>
      </c>
      <c r="C632" t="s">
        <v>659</v>
      </c>
      <c r="D632" t="s">
        <v>13</v>
      </c>
      <c r="E632">
        <v>56</v>
      </c>
      <c r="F632" t="s">
        <v>20</v>
      </c>
      <c r="G632">
        <v>3</v>
      </c>
      <c r="H632">
        <v>30</v>
      </c>
      <c r="I632">
        <f t="shared" si="18"/>
        <v>90</v>
      </c>
      <c r="J632" s="4">
        <f t="shared" si="19"/>
        <v>1.3499999999999999</v>
      </c>
      <c r="K632" t="str">
        <f>IF(RetailSales[[#This Row],[Age]]&lt;30,"Young Adult",IF(RetailSales[[#This Row],[Age]]&lt;50,"Adult","Senior"))</f>
        <v>Senior</v>
      </c>
      <c r="L632" t="str">
        <f>_xlfn.CONCAT(I632,"_",RetailSales[[#This Row],[Product Category]])</f>
        <v>90_Electronics</v>
      </c>
    </row>
    <row r="633" spans="1:12">
      <c r="A633">
        <v>632</v>
      </c>
      <c r="B633">
        <v>45185</v>
      </c>
      <c r="C633" t="s">
        <v>660</v>
      </c>
      <c r="D633" t="s">
        <v>17</v>
      </c>
      <c r="E633">
        <v>26</v>
      </c>
      <c r="F633" t="s">
        <v>20</v>
      </c>
      <c r="G633">
        <v>4</v>
      </c>
      <c r="H633">
        <v>25</v>
      </c>
      <c r="I633">
        <f t="shared" si="18"/>
        <v>100</v>
      </c>
      <c r="J633" s="4">
        <f t="shared" si="19"/>
        <v>1.5</v>
      </c>
      <c r="K633" t="str">
        <f>IF(RetailSales[[#This Row],[Age]]&lt;30,"Young Adult",IF(RetailSales[[#This Row],[Age]]&lt;50,"Adult","Senior"))</f>
        <v>Young Adult</v>
      </c>
      <c r="L633" t="str">
        <f>_xlfn.CONCAT(I633,"_",RetailSales[[#This Row],[Product Category]])</f>
        <v>100_Electronics</v>
      </c>
    </row>
    <row r="634" spans="1:12">
      <c r="A634">
        <v>633</v>
      </c>
      <c r="B634">
        <v>45145</v>
      </c>
      <c r="C634" t="s">
        <v>661</v>
      </c>
      <c r="D634" t="s">
        <v>13</v>
      </c>
      <c r="E634">
        <v>39</v>
      </c>
      <c r="F634" t="s">
        <v>14</v>
      </c>
      <c r="G634">
        <v>4</v>
      </c>
      <c r="H634">
        <v>30</v>
      </c>
      <c r="I634">
        <f t="shared" si="18"/>
        <v>120</v>
      </c>
      <c r="J634" s="4">
        <f t="shared" si="19"/>
        <v>1.7999999999999998</v>
      </c>
      <c r="K634" t="str">
        <f>IF(RetailSales[[#This Row],[Age]]&lt;30,"Young Adult",IF(RetailSales[[#This Row],[Age]]&lt;50,"Adult","Senior"))</f>
        <v>Adult</v>
      </c>
      <c r="L634" t="str">
        <f>_xlfn.CONCAT(I634,"_",RetailSales[[#This Row],[Product Category]])</f>
        <v>120_Beauty</v>
      </c>
    </row>
    <row r="635" spans="1:12">
      <c r="A635">
        <v>634</v>
      </c>
      <c r="B635">
        <v>45207</v>
      </c>
      <c r="C635" t="s">
        <v>662</v>
      </c>
      <c r="D635" t="s">
        <v>13</v>
      </c>
      <c r="E635">
        <v>60</v>
      </c>
      <c r="F635" t="s">
        <v>20</v>
      </c>
      <c r="G635">
        <v>4</v>
      </c>
      <c r="H635">
        <v>500</v>
      </c>
      <c r="I635">
        <f t="shared" si="18"/>
        <v>2000</v>
      </c>
      <c r="J635" s="4">
        <f t="shared" si="19"/>
        <v>30</v>
      </c>
      <c r="K635" t="str">
        <f>IF(RetailSales[[#This Row],[Age]]&lt;30,"Young Adult",IF(RetailSales[[#This Row],[Age]]&lt;50,"Adult","Senior"))</f>
        <v>Senior</v>
      </c>
      <c r="L635" t="str">
        <f>_xlfn.CONCAT(I635,"_",RetailSales[[#This Row],[Product Category]])</f>
        <v>2000_Electronics</v>
      </c>
    </row>
    <row r="636" spans="1:12">
      <c r="A636">
        <v>635</v>
      </c>
      <c r="B636">
        <v>45155</v>
      </c>
      <c r="C636" t="s">
        <v>663</v>
      </c>
      <c r="D636" t="s">
        <v>17</v>
      </c>
      <c r="E636">
        <v>63</v>
      </c>
      <c r="F636" t="s">
        <v>20</v>
      </c>
      <c r="G636">
        <v>3</v>
      </c>
      <c r="H636">
        <v>300</v>
      </c>
      <c r="I636">
        <f t="shared" si="18"/>
        <v>900</v>
      </c>
      <c r="J636" s="4">
        <f t="shared" si="19"/>
        <v>13.5</v>
      </c>
      <c r="K636" t="str">
        <f>IF(RetailSales[[#This Row],[Age]]&lt;30,"Young Adult",IF(RetailSales[[#This Row],[Age]]&lt;50,"Adult","Senior"))</f>
        <v>Senior</v>
      </c>
      <c r="L636" t="str">
        <f>_xlfn.CONCAT(I636,"_",RetailSales[[#This Row],[Product Category]])</f>
        <v>900_Electronics</v>
      </c>
    </row>
    <row r="637" spans="1:12">
      <c r="A637">
        <v>636</v>
      </c>
      <c r="B637">
        <v>45008</v>
      </c>
      <c r="C637" t="s">
        <v>664</v>
      </c>
      <c r="D637" t="s">
        <v>17</v>
      </c>
      <c r="E637">
        <v>21</v>
      </c>
      <c r="F637" t="s">
        <v>14</v>
      </c>
      <c r="G637">
        <v>3</v>
      </c>
      <c r="H637">
        <v>500</v>
      </c>
      <c r="I637">
        <f t="shared" si="18"/>
        <v>1500</v>
      </c>
      <c r="J637" s="4">
        <f t="shared" si="19"/>
        <v>22.5</v>
      </c>
      <c r="K637" t="str">
        <f>IF(RetailSales[[#This Row],[Age]]&lt;30,"Young Adult",IF(RetailSales[[#This Row],[Age]]&lt;50,"Adult","Senior"))</f>
        <v>Young Adult</v>
      </c>
      <c r="L637" t="str">
        <f>_xlfn.CONCAT(I637,"_",RetailSales[[#This Row],[Product Category]])</f>
        <v>1500_Beauty</v>
      </c>
    </row>
    <row r="638" spans="1:12">
      <c r="A638">
        <v>637</v>
      </c>
      <c r="B638">
        <v>45170</v>
      </c>
      <c r="C638" t="s">
        <v>665</v>
      </c>
      <c r="D638" t="s">
        <v>13</v>
      </c>
      <c r="E638">
        <v>43</v>
      </c>
      <c r="F638" t="s">
        <v>18</v>
      </c>
      <c r="G638">
        <v>2</v>
      </c>
      <c r="H638">
        <v>300</v>
      </c>
      <c r="I638">
        <f t="shared" si="18"/>
        <v>600</v>
      </c>
      <c r="J638" s="4">
        <f t="shared" si="19"/>
        <v>9</v>
      </c>
      <c r="K638" t="str">
        <f>IF(RetailSales[[#This Row],[Age]]&lt;30,"Young Adult",IF(RetailSales[[#This Row],[Age]]&lt;50,"Adult","Senior"))</f>
        <v>Adult</v>
      </c>
      <c r="L638" t="str">
        <f>_xlfn.CONCAT(I638,"_",RetailSales[[#This Row],[Product Category]])</f>
        <v>600_Clothing</v>
      </c>
    </row>
    <row r="639" spans="1:12">
      <c r="A639">
        <v>638</v>
      </c>
      <c r="B639">
        <v>45157</v>
      </c>
      <c r="C639" t="s">
        <v>666</v>
      </c>
      <c r="D639" t="s">
        <v>13</v>
      </c>
      <c r="E639">
        <v>46</v>
      </c>
      <c r="F639" t="s">
        <v>20</v>
      </c>
      <c r="G639">
        <v>1</v>
      </c>
      <c r="H639">
        <v>500</v>
      </c>
      <c r="I639">
        <f t="shared" si="18"/>
        <v>500</v>
      </c>
      <c r="J639" s="4">
        <f t="shared" si="19"/>
        <v>7.5</v>
      </c>
      <c r="K639" t="str">
        <f>IF(RetailSales[[#This Row],[Age]]&lt;30,"Young Adult",IF(RetailSales[[#This Row],[Age]]&lt;50,"Adult","Senior"))</f>
        <v>Adult</v>
      </c>
      <c r="L639" t="str">
        <f>_xlfn.CONCAT(I639,"_",RetailSales[[#This Row],[Product Category]])</f>
        <v>500_Electronics</v>
      </c>
    </row>
    <row r="640" spans="1:12">
      <c r="A640">
        <v>639</v>
      </c>
      <c r="B640">
        <v>45059</v>
      </c>
      <c r="C640" t="s">
        <v>667</v>
      </c>
      <c r="D640" t="s">
        <v>17</v>
      </c>
      <c r="E640">
        <v>62</v>
      </c>
      <c r="F640" t="s">
        <v>14</v>
      </c>
      <c r="G640">
        <v>4</v>
      </c>
      <c r="H640">
        <v>50</v>
      </c>
      <c r="I640">
        <f t="shared" si="18"/>
        <v>200</v>
      </c>
      <c r="J640" s="4">
        <f t="shared" si="19"/>
        <v>3</v>
      </c>
      <c r="K640" t="str">
        <f>IF(RetailSales[[#This Row],[Age]]&lt;30,"Young Adult",IF(RetailSales[[#This Row],[Age]]&lt;50,"Adult","Senior"))</f>
        <v>Senior</v>
      </c>
      <c r="L640" t="str">
        <f>_xlfn.CONCAT(I640,"_",RetailSales[[#This Row],[Product Category]])</f>
        <v>200_Beauty</v>
      </c>
    </row>
    <row r="641" spans="1:12">
      <c r="A641">
        <v>640</v>
      </c>
      <c r="B641">
        <v>45053</v>
      </c>
      <c r="C641" t="s">
        <v>668</v>
      </c>
      <c r="D641" t="s">
        <v>17</v>
      </c>
      <c r="E641">
        <v>51</v>
      </c>
      <c r="F641" t="s">
        <v>20</v>
      </c>
      <c r="G641">
        <v>4</v>
      </c>
      <c r="H641">
        <v>30</v>
      </c>
      <c r="I641">
        <f t="shared" si="18"/>
        <v>120</v>
      </c>
      <c r="J641" s="4">
        <f t="shared" si="19"/>
        <v>1.7999999999999998</v>
      </c>
      <c r="K641" t="str">
        <f>IF(RetailSales[[#This Row],[Age]]&lt;30,"Young Adult",IF(RetailSales[[#This Row],[Age]]&lt;50,"Adult","Senior"))</f>
        <v>Senior</v>
      </c>
      <c r="L641" t="str">
        <f>_xlfn.CONCAT(I641,"_",RetailSales[[#This Row],[Product Category]])</f>
        <v>120_Electronics</v>
      </c>
    </row>
    <row r="642" spans="1:12">
      <c r="A642">
        <v>641</v>
      </c>
      <c r="B642">
        <v>45253</v>
      </c>
      <c r="C642" t="s">
        <v>669</v>
      </c>
      <c r="D642" t="s">
        <v>17</v>
      </c>
      <c r="E642">
        <v>40</v>
      </c>
      <c r="F642" t="s">
        <v>20</v>
      </c>
      <c r="G642">
        <v>1</v>
      </c>
      <c r="H642">
        <v>300</v>
      </c>
      <c r="I642">
        <f t="shared" si="18"/>
        <v>300</v>
      </c>
      <c r="J642" s="4">
        <f t="shared" si="19"/>
        <v>4.5</v>
      </c>
      <c r="K642" t="str">
        <f>IF(RetailSales[[#This Row],[Age]]&lt;30,"Young Adult",IF(RetailSales[[#This Row],[Age]]&lt;50,"Adult","Senior"))</f>
        <v>Adult</v>
      </c>
      <c r="L642" t="str">
        <f>_xlfn.CONCAT(I642,"_",RetailSales[[#This Row],[Product Category]])</f>
        <v>300_Electronics</v>
      </c>
    </row>
    <row r="643" spans="1:12">
      <c r="A643">
        <v>642</v>
      </c>
      <c r="B643">
        <v>45068</v>
      </c>
      <c r="C643" t="s">
        <v>670</v>
      </c>
      <c r="D643" t="s">
        <v>17</v>
      </c>
      <c r="E643">
        <v>54</v>
      </c>
      <c r="F643" t="s">
        <v>18</v>
      </c>
      <c r="G643">
        <v>4</v>
      </c>
      <c r="H643">
        <v>25</v>
      </c>
      <c r="I643">
        <f t="shared" ref="I643:I706" si="20">G643*H643</f>
        <v>100</v>
      </c>
      <c r="J643" s="4">
        <f t="shared" ref="J643:J706" si="21">I643*$O$3</f>
        <v>1.5</v>
      </c>
      <c r="K643" t="str">
        <f>IF(RetailSales[[#This Row],[Age]]&lt;30,"Young Adult",IF(RetailSales[[#This Row],[Age]]&lt;50,"Adult","Senior"))</f>
        <v>Senior</v>
      </c>
      <c r="L643" t="str">
        <f>_xlfn.CONCAT(I643,"_",RetailSales[[#This Row],[Product Category]])</f>
        <v>100_Clothing</v>
      </c>
    </row>
    <row r="644" spans="1:12">
      <c r="A644">
        <v>643</v>
      </c>
      <c r="B644">
        <v>45193</v>
      </c>
      <c r="C644" t="s">
        <v>671</v>
      </c>
      <c r="D644" t="s">
        <v>17</v>
      </c>
      <c r="E644">
        <v>28</v>
      </c>
      <c r="F644" t="s">
        <v>20</v>
      </c>
      <c r="G644">
        <v>3</v>
      </c>
      <c r="H644">
        <v>30</v>
      </c>
      <c r="I644">
        <f t="shared" si="20"/>
        <v>90</v>
      </c>
      <c r="J644" s="4">
        <f t="shared" si="21"/>
        <v>1.3499999999999999</v>
      </c>
      <c r="K644" t="str">
        <f>IF(RetailSales[[#This Row],[Age]]&lt;30,"Young Adult",IF(RetailSales[[#This Row],[Age]]&lt;50,"Adult","Senior"))</f>
        <v>Young Adult</v>
      </c>
      <c r="L644" t="str">
        <f>_xlfn.CONCAT(I644,"_",RetailSales[[#This Row],[Product Category]])</f>
        <v>90_Electronics</v>
      </c>
    </row>
    <row r="645" spans="1:12">
      <c r="A645">
        <v>644</v>
      </c>
      <c r="B645">
        <v>45175</v>
      </c>
      <c r="C645" t="s">
        <v>672</v>
      </c>
      <c r="D645" t="s">
        <v>13</v>
      </c>
      <c r="E645">
        <v>23</v>
      </c>
      <c r="F645" t="s">
        <v>14</v>
      </c>
      <c r="G645">
        <v>3</v>
      </c>
      <c r="H645">
        <v>25</v>
      </c>
      <c r="I645">
        <f t="shared" si="20"/>
        <v>75</v>
      </c>
      <c r="J645" s="4">
        <f t="shared" si="21"/>
        <v>1.125</v>
      </c>
      <c r="K645" t="str">
        <f>IF(RetailSales[[#This Row],[Age]]&lt;30,"Young Adult",IF(RetailSales[[#This Row],[Age]]&lt;50,"Adult","Senior"))</f>
        <v>Young Adult</v>
      </c>
      <c r="L645" t="str">
        <f>_xlfn.CONCAT(I645,"_",RetailSales[[#This Row],[Product Category]])</f>
        <v>75_Beauty</v>
      </c>
    </row>
    <row r="646" spans="1:12">
      <c r="A646">
        <v>645</v>
      </c>
      <c r="B646">
        <v>45247</v>
      </c>
      <c r="C646" t="s">
        <v>673</v>
      </c>
      <c r="D646" t="s">
        <v>17</v>
      </c>
      <c r="E646">
        <v>35</v>
      </c>
      <c r="F646" t="s">
        <v>20</v>
      </c>
      <c r="G646">
        <v>4</v>
      </c>
      <c r="H646">
        <v>30</v>
      </c>
      <c r="I646">
        <f t="shared" si="20"/>
        <v>120</v>
      </c>
      <c r="J646" s="4">
        <f t="shared" si="21"/>
        <v>1.7999999999999998</v>
      </c>
      <c r="K646" t="str">
        <f>IF(RetailSales[[#This Row],[Age]]&lt;30,"Young Adult",IF(RetailSales[[#This Row],[Age]]&lt;50,"Adult","Senior"))</f>
        <v>Adult</v>
      </c>
      <c r="L646" t="str">
        <f>_xlfn.CONCAT(I646,"_",RetailSales[[#This Row],[Product Category]])</f>
        <v>120_Electronics</v>
      </c>
    </row>
    <row r="647" spans="1:12">
      <c r="A647">
        <v>646</v>
      </c>
      <c r="B647">
        <v>45049</v>
      </c>
      <c r="C647" t="s">
        <v>674</v>
      </c>
      <c r="D647" t="s">
        <v>13</v>
      </c>
      <c r="E647">
        <v>38</v>
      </c>
      <c r="F647" t="s">
        <v>18</v>
      </c>
      <c r="G647">
        <v>3</v>
      </c>
      <c r="H647">
        <v>30</v>
      </c>
      <c r="I647">
        <f t="shared" si="20"/>
        <v>90</v>
      </c>
      <c r="J647" s="4">
        <f t="shared" si="21"/>
        <v>1.3499999999999999</v>
      </c>
      <c r="K647" t="str">
        <f>IF(RetailSales[[#This Row],[Age]]&lt;30,"Young Adult",IF(RetailSales[[#This Row],[Age]]&lt;50,"Adult","Senior"))</f>
        <v>Adult</v>
      </c>
      <c r="L647" t="str">
        <f>_xlfn.CONCAT(I647,"_",RetailSales[[#This Row],[Product Category]])</f>
        <v>90_Clothing</v>
      </c>
    </row>
    <row r="648" spans="1:12">
      <c r="A648">
        <v>647</v>
      </c>
      <c r="B648">
        <v>45067</v>
      </c>
      <c r="C648" t="s">
        <v>675</v>
      </c>
      <c r="D648" t="s">
        <v>13</v>
      </c>
      <c r="E648">
        <v>59</v>
      </c>
      <c r="F648" t="s">
        <v>18</v>
      </c>
      <c r="G648">
        <v>3</v>
      </c>
      <c r="H648">
        <v>500</v>
      </c>
      <c r="I648">
        <f t="shared" si="20"/>
        <v>1500</v>
      </c>
      <c r="J648" s="4">
        <f t="shared" si="21"/>
        <v>22.5</v>
      </c>
      <c r="K648" t="str">
        <f>IF(RetailSales[[#This Row],[Age]]&lt;30,"Young Adult",IF(RetailSales[[#This Row],[Age]]&lt;50,"Adult","Senior"))</f>
        <v>Senior</v>
      </c>
      <c r="L648" t="str">
        <f>_xlfn.CONCAT(I648,"_",RetailSales[[#This Row],[Product Category]])</f>
        <v>1500_Clothing</v>
      </c>
    </row>
    <row r="649" spans="1:12">
      <c r="A649">
        <v>648</v>
      </c>
      <c r="B649">
        <v>45152</v>
      </c>
      <c r="C649" t="s">
        <v>676</v>
      </c>
      <c r="D649" t="s">
        <v>13</v>
      </c>
      <c r="E649">
        <v>53</v>
      </c>
      <c r="F649" t="s">
        <v>14</v>
      </c>
      <c r="G649">
        <v>4</v>
      </c>
      <c r="H649">
        <v>300</v>
      </c>
      <c r="I649">
        <f t="shared" si="20"/>
        <v>1200</v>
      </c>
      <c r="J649" s="4">
        <f t="shared" si="21"/>
        <v>18</v>
      </c>
      <c r="K649" t="str">
        <f>IF(RetailSales[[#This Row],[Age]]&lt;30,"Young Adult",IF(RetailSales[[#This Row],[Age]]&lt;50,"Adult","Senior"))</f>
        <v>Senior</v>
      </c>
      <c r="L649" t="str">
        <f>_xlfn.CONCAT(I649,"_",RetailSales[[#This Row],[Product Category]])</f>
        <v>1200_Beauty</v>
      </c>
    </row>
    <row r="650" spans="1:12">
      <c r="A650">
        <v>649</v>
      </c>
      <c r="B650">
        <v>44966</v>
      </c>
      <c r="C650" t="s">
        <v>677</v>
      </c>
      <c r="D650" t="s">
        <v>17</v>
      </c>
      <c r="E650">
        <v>58</v>
      </c>
      <c r="F650" t="s">
        <v>18</v>
      </c>
      <c r="G650">
        <v>2</v>
      </c>
      <c r="H650">
        <v>300</v>
      </c>
      <c r="I650">
        <f t="shared" si="20"/>
        <v>600</v>
      </c>
      <c r="J650" s="4">
        <f t="shared" si="21"/>
        <v>9</v>
      </c>
      <c r="K650" t="str">
        <f>IF(RetailSales[[#This Row],[Age]]&lt;30,"Young Adult",IF(RetailSales[[#This Row],[Age]]&lt;50,"Adult","Senior"))</f>
        <v>Senior</v>
      </c>
      <c r="L650" t="str">
        <f>_xlfn.CONCAT(I650,"_",RetailSales[[#This Row],[Product Category]])</f>
        <v>600_Clothing</v>
      </c>
    </row>
    <row r="651" spans="1:12">
      <c r="A651">
        <v>650</v>
      </c>
      <c r="B651">
        <v>45292</v>
      </c>
      <c r="C651" t="s">
        <v>678</v>
      </c>
      <c r="D651" t="s">
        <v>13</v>
      </c>
      <c r="E651">
        <v>55</v>
      </c>
      <c r="F651" t="s">
        <v>20</v>
      </c>
      <c r="G651">
        <v>1</v>
      </c>
      <c r="H651">
        <v>30</v>
      </c>
      <c r="I651">
        <f t="shared" si="20"/>
        <v>30</v>
      </c>
      <c r="J651" s="4">
        <f t="shared" si="21"/>
        <v>0.44999999999999996</v>
      </c>
      <c r="K651" t="str">
        <f>IF(RetailSales[[#This Row],[Age]]&lt;30,"Young Adult",IF(RetailSales[[#This Row],[Age]]&lt;50,"Adult","Senior"))</f>
        <v>Senior</v>
      </c>
      <c r="L651" t="str">
        <f>_xlfn.CONCAT(I651,"_",RetailSales[[#This Row],[Product Category]])</f>
        <v>30_Electronics</v>
      </c>
    </row>
    <row r="652" spans="1:12">
      <c r="A652">
        <v>651</v>
      </c>
      <c r="B652">
        <v>45073</v>
      </c>
      <c r="C652" t="s">
        <v>679</v>
      </c>
      <c r="D652" t="s">
        <v>13</v>
      </c>
      <c r="E652">
        <v>51</v>
      </c>
      <c r="F652" t="s">
        <v>18</v>
      </c>
      <c r="G652">
        <v>3</v>
      </c>
      <c r="H652">
        <v>50</v>
      </c>
      <c r="I652">
        <f t="shared" si="20"/>
        <v>150</v>
      </c>
      <c r="J652" s="4">
        <f t="shared" si="21"/>
        <v>2.25</v>
      </c>
      <c r="K652" t="str">
        <f>IF(RetailSales[[#This Row],[Age]]&lt;30,"Young Adult",IF(RetailSales[[#This Row],[Age]]&lt;50,"Adult","Senior"))</f>
        <v>Senior</v>
      </c>
      <c r="L652" t="str">
        <f>_xlfn.CONCAT(I652,"_",RetailSales[[#This Row],[Product Category]])</f>
        <v>150_Clothing</v>
      </c>
    </row>
    <row r="653" spans="1:12">
      <c r="A653">
        <v>652</v>
      </c>
      <c r="B653">
        <v>45047</v>
      </c>
      <c r="C653" t="s">
        <v>680</v>
      </c>
      <c r="D653" t="s">
        <v>17</v>
      </c>
      <c r="E653">
        <v>34</v>
      </c>
      <c r="F653" t="s">
        <v>14</v>
      </c>
      <c r="G653">
        <v>2</v>
      </c>
      <c r="H653">
        <v>50</v>
      </c>
      <c r="I653">
        <f t="shared" si="20"/>
        <v>100</v>
      </c>
      <c r="J653" s="4">
        <f t="shared" si="21"/>
        <v>1.5</v>
      </c>
      <c r="K653" t="str">
        <f>IF(RetailSales[[#This Row],[Age]]&lt;30,"Young Adult",IF(RetailSales[[#This Row],[Age]]&lt;50,"Adult","Senior"))</f>
        <v>Adult</v>
      </c>
      <c r="L653" t="str">
        <f>_xlfn.CONCAT(I653,"_",RetailSales[[#This Row],[Product Category]])</f>
        <v>100_Beauty</v>
      </c>
    </row>
    <row r="654" spans="1:12">
      <c r="A654">
        <v>653</v>
      </c>
      <c r="B654">
        <v>45066</v>
      </c>
      <c r="C654" t="s">
        <v>681</v>
      </c>
      <c r="D654" t="s">
        <v>13</v>
      </c>
      <c r="E654">
        <v>54</v>
      </c>
      <c r="F654" t="s">
        <v>18</v>
      </c>
      <c r="G654">
        <v>3</v>
      </c>
      <c r="H654">
        <v>25</v>
      </c>
      <c r="I654">
        <f t="shared" si="20"/>
        <v>75</v>
      </c>
      <c r="J654" s="4">
        <f t="shared" si="21"/>
        <v>1.125</v>
      </c>
      <c r="K654" t="str">
        <f>IF(RetailSales[[#This Row],[Age]]&lt;30,"Young Adult",IF(RetailSales[[#This Row],[Age]]&lt;50,"Adult","Senior"))</f>
        <v>Senior</v>
      </c>
      <c r="L654" t="str">
        <f>_xlfn.CONCAT(I654,"_",RetailSales[[#This Row],[Product Category]])</f>
        <v>75_Clothing</v>
      </c>
    </row>
    <row r="655" spans="1:12">
      <c r="A655">
        <v>654</v>
      </c>
      <c r="B655">
        <v>45098</v>
      </c>
      <c r="C655" t="s">
        <v>682</v>
      </c>
      <c r="D655" t="s">
        <v>13</v>
      </c>
      <c r="E655">
        <v>42</v>
      </c>
      <c r="F655" t="s">
        <v>18</v>
      </c>
      <c r="G655">
        <v>3</v>
      </c>
      <c r="H655">
        <v>25</v>
      </c>
      <c r="I655">
        <f t="shared" si="20"/>
        <v>75</v>
      </c>
      <c r="J655" s="4">
        <f t="shared" si="21"/>
        <v>1.125</v>
      </c>
      <c r="K655" t="str">
        <f>IF(RetailSales[[#This Row],[Age]]&lt;30,"Young Adult",IF(RetailSales[[#This Row],[Age]]&lt;50,"Adult","Senior"))</f>
        <v>Adult</v>
      </c>
      <c r="L655" t="str">
        <f>_xlfn.CONCAT(I655,"_",RetailSales[[#This Row],[Product Category]])</f>
        <v>75_Clothing</v>
      </c>
    </row>
    <row r="656" spans="1:12">
      <c r="A656">
        <v>655</v>
      </c>
      <c r="B656">
        <v>45090</v>
      </c>
      <c r="C656" t="s">
        <v>683</v>
      </c>
      <c r="D656" t="s">
        <v>17</v>
      </c>
      <c r="E656">
        <v>55</v>
      </c>
      <c r="F656" t="s">
        <v>18</v>
      </c>
      <c r="G656">
        <v>1</v>
      </c>
      <c r="H656">
        <v>500</v>
      </c>
      <c r="I656">
        <f t="shared" si="20"/>
        <v>500</v>
      </c>
      <c r="J656" s="4">
        <f t="shared" si="21"/>
        <v>7.5</v>
      </c>
      <c r="K656" t="str">
        <f>IF(RetailSales[[#This Row],[Age]]&lt;30,"Young Adult",IF(RetailSales[[#This Row],[Age]]&lt;50,"Adult","Senior"))</f>
        <v>Senior</v>
      </c>
      <c r="L656" t="str">
        <f>_xlfn.CONCAT(I656,"_",RetailSales[[#This Row],[Product Category]])</f>
        <v>500_Clothing</v>
      </c>
    </row>
    <row r="657" spans="1:12">
      <c r="A657">
        <v>656</v>
      </c>
      <c r="B657">
        <v>45203</v>
      </c>
      <c r="C657" t="s">
        <v>684</v>
      </c>
      <c r="D657" t="s">
        <v>13</v>
      </c>
      <c r="E657">
        <v>29</v>
      </c>
      <c r="F657" t="s">
        <v>14</v>
      </c>
      <c r="G657">
        <v>3</v>
      </c>
      <c r="H657">
        <v>30</v>
      </c>
      <c r="I657">
        <f t="shared" si="20"/>
        <v>90</v>
      </c>
      <c r="J657" s="4">
        <f t="shared" si="21"/>
        <v>1.3499999999999999</v>
      </c>
      <c r="K657" t="str">
        <f>IF(RetailSales[[#This Row],[Age]]&lt;30,"Young Adult",IF(RetailSales[[#This Row],[Age]]&lt;50,"Adult","Senior"))</f>
        <v>Young Adult</v>
      </c>
      <c r="L657" t="str">
        <f>_xlfn.CONCAT(I657,"_",RetailSales[[#This Row],[Product Category]])</f>
        <v>90_Beauty</v>
      </c>
    </row>
    <row r="658" spans="1:12">
      <c r="A658">
        <v>657</v>
      </c>
      <c r="B658">
        <v>44968</v>
      </c>
      <c r="C658" t="s">
        <v>685</v>
      </c>
      <c r="D658" t="s">
        <v>13</v>
      </c>
      <c r="E658">
        <v>40</v>
      </c>
      <c r="F658" t="s">
        <v>18</v>
      </c>
      <c r="G658">
        <v>1</v>
      </c>
      <c r="H658">
        <v>25</v>
      </c>
      <c r="I658">
        <f t="shared" si="20"/>
        <v>25</v>
      </c>
      <c r="J658" s="4">
        <f t="shared" si="21"/>
        <v>0.375</v>
      </c>
      <c r="K658" t="str">
        <f>IF(RetailSales[[#This Row],[Age]]&lt;30,"Young Adult",IF(RetailSales[[#This Row],[Age]]&lt;50,"Adult","Senior"))</f>
        <v>Adult</v>
      </c>
      <c r="L658" t="str">
        <f>_xlfn.CONCAT(I658,"_",RetailSales[[#This Row],[Product Category]])</f>
        <v>25_Clothing</v>
      </c>
    </row>
    <row r="659" spans="1:12">
      <c r="A659">
        <v>658</v>
      </c>
      <c r="B659">
        <v>44997</v>
      </c>
      <c r="C659" t="s">
        <v>686</v>
      </c>
      <c r="D659" t="s">
        <v>13</v>
      </c>
      <c r="E659">
        <v>59</v>
      </c>
      <c r="F659" t="s">
        <v>18</v>
      </c>
      <c r="G659">
        <v>1</v>
      </c>
      <c r="H659">
        <v>25</v>
      </c>
      <c r="I659">
        <f t="shared" si="20"/>
        <v>25</v>
      </c>
      <c r="J659" s="4">
        <f t="shared" si="21"/>
        <v>0.375</v>
      </c>
      <c r="K659" t="str">
        <f>IF(RetailSales[[#This Row],[Age]]&lt;30,"Young Adult",IF(RetailSales[[#This Row],[Age]]&lt;50,"Adult","Senior"))</f>
        <v>Senior</v>
      </c>
      <c r="L659" t="str">
        <f>_xlfn.CONCAT(I659,"_",RetailSales[[#This Row],[Product Category]])</f>
        <v>25_Clothing</v>
      </c>
    </row>
    <row r="660" spans="1:12">
      <c r="A660">
        <v>659</v>
      </c>
      <c r="B660">
        <v>45004</v>
      </c>
      <c r="C660" t="s">
        <v>687</v>
      </c>
      <c r="D660" t="s">
        <v>17</v>
      </c>
      <c r="E660">
        <v>39</v>
      </c>
      <c r="F660" t="s">
        <v>20</v>
      </c>
      <c r="G660">
        <v>1</v>
      </c>
      <c r="H660">
        <v>30</v>
      </c>
      <c r="I660">
        <f t="shared" si="20"/>
        <v>30</v>
      </c>
      <c r="J660" s="4">
        <f t="shared" si="21"/>
        <v>0.44999999999999996</v>
      </c>
      <c r="K660" t="str">
        <f>IF(RetailSales[[#This Row],[Age]]&lt;30,"Young Adult",IF(RetailSales[[#This Row],[Age]]&lt;50,"Adult","Senior"))</f>
        <v>Adult</v>
      </c>
      <c r="L660" t="str">
        <f>_xlfn.CONCAT(I660,"_",RetailSales[[#This Row],[Product Category]])</f>
        <v>30_Electronics</v>
      </c>
    </row>
    <row r="661" spans="1:12">
      <c r="A661">
        <v>660</v>
      </c>
      <c r="B661">
        <v>45045</v>
      </c>
      <c r="C661" t="s">
        <v>688</v>
      </c>
      <c r="D661" t="s">
        <v>17</v>
      </c>
      <c r="E661">
        <v>38</v>
      </c>
      <c r="F661" t="s">
        <v>14</v>
      </c>
      <c r="G661">
        <v>2</v>
      </c>
      <c r="H661">
        <v>500</v>
      </c>
      <c r="I661">
        <f t="shared" si="20"/>
        <v>1000</v>
      </c>
      <c r="J661" s="4">
        <f t="shared" si="21"/>
        <v>15</v>
      </c>
      <c r="K661" t="str">
        <f>IF(RetailSales[[#This Row],[Age]]&lt;30,"Young Adult",IF(RetailSales[[#This Row],[Age]]&lt;50,"Adult","Senior"))</f>
        <v>Adult</v>
      </c>
      <c r="L661" t="str">
        <f>_xlfn.CONCAT(I661,"_",RetailSales[[#This Row],[Product Category]])</f>
        <v>1000_Beauty</v>
      </c>
    </row>
    <row r="662" spans="1:12">
      <c r="A662">
        <v>661</v>
      </c>
      <c r="B662">
        <v>45123</v>
      </c>
      <c r="C662" t="s">
        <v>689</v>
      </c>
      <c r="D662" t="s">
        <v>17</v>
      </c>
      <c r="E662">
        <v>44</v>
      </c>
      <c r="F662" t="s">
        <v>18</v>
      </c>
      <c r="G662">
        <v>4</v>
      </c>
      <c r="H662">
        <v>25</v>
      </c>
      <c r="I662">
        <f t="shared" si="20"/>
        <v>100</v>
      </c>
      <c r="J662" s="4">
        <f t="shared" si="21"/>
        <v>1.5</v>
      </c>
      <c r="K662" t="str">
        <f>IF(RetailSales[[#This Row],[Age]]&lt;30,"Young Adult",IF(RetailSales[[#This Row],[Age]]&lt;50,"Adult","Senior"))</f>
        <v>Adult</v>
      </c>
      <c r="L662" t="str">
        <f>_xlfn.CONCAT(I662,"_",RetailSales[[#This Row],[Product Category]])</f>
        <v>100_Clothing</v>
      </c>
    </row>
    <row r="663" spans="1:12">
      <c r="A663">
        <v>662</v>
      </c>
      <c r="B663">
        <v>45282</v>
      </c>
      <c r="C663" t="s">
        <v>690</v>
      </c>
      <c r="D663" t="s">
        <v>13</v>
      </c>
      <c r="E663">
        <v>48</v>
      </c>
      <c r="F663" t="s">
        <v>14</v>
      </c>
      <c r="G663">
        <v>2</v>
      </c>
      <c r="H663">
        <v>500</v>
      </c>
      <c r="I663">
        <f t="shared" si="20"/>
        <v>1000</v>
      </c>
      <c r="J663" s="4">
        <f t="shared" si="21"/>
        <v>15</v>
      </c>
      <c r="K663" t="str">
        <f>IF(RetailSales[[#This Row],[Age]]&lt;30,"Young Adult",IF(RetailSales[[#This Row],[Age]]&lt;50,"Adult","Senior"))</f>
        <v>Adult</v>
      </c>
      <c r="L663" t="str">
        <f>_xlfn.CONCAT(I663,"_",RetailSales[[#This Row],[Product Category]])</f>
        <v>1000_Beauty</v>
      </c>
    </row>
    <row r="664" spans="1:12">
      <c r="A664">
        <v>663</v>
      </c>
      <c r="B664">
        <v>45005</v>
      </c>
      <c r="C664" t="s">
        <v>691</v>
      </c>
      <c r="D664" t="s">
        <v>13</v>
      </c>
      <c r="E664">
        <v>23</v>
      </c>
      <c r="F664" t="s">
        <v>18</v>
      </c>
      <c r="G664">
        <v>4</v>
      </c>
      <c r="H664">
        <v>300</v>
      </c>
      <c r="I664">
        <f t="shared" si="20"/>
        <v>1200</v>
      </c>
      <c r="J664" s="4">
        <f t="shared" si="21"/>
        <v>18</v>
      </c>
      <c r="K664" t="str">
        <f>IF(RetailSales[[#This Row],[Age]]&lt;30,"Young Adult",IF(RetailSales[[#This Row],[Age]]&lt;50,"Adult","Senior"))</f>
        <v>Young Adult</v>
      </c>
      <c r="L664" t="str">
        <f>_xlfn.CONCAT(I664,"_",RetailSales[[#This Row],[Product Category]])</f>
        <v>1200_Clothing</v>
      </c>
    </row>
    <row r="665" spans="1:12">
      <c r="A665">
        <v>664</v>
      </c>
      <c r="B665">
        <v>45288</v>
      </c>
      <c r="C665" t="s">
        <v>692</v>
      </c>
      <c r="D665" t="s">
        <v>17</v>
      </c>
      <c r="E665">
        <v>44</v>
      </c>
      <c r="F665" t="s">
        <v>18</v>
      </c>
      <c r="G665">
        <v>4</v>
      </c>
      <c r="H665">
        <v>500</v>
      </c>
      <c r="I665">
        <f t="shared" si="20"/>
        <v>2000</v>
      </c>
      <c r="J665" s="4">
        <f t="shared" si="21"/>
        <v>30</v>
      </c>
      <c r="K665" t="str">
        <f>IF(RetailSales[[#This Row],[Age]]&lt;30,"Young Adult",IF(RetailSales[[#This Row],[Age]]&lt;50,"Adult","Senior"))</f>
        <v>Adult</v>
      </c>
      <c r="L665" t="str">
        <f>_xlfn.CONCAT(I665,"_",RetailSales[[#This Row],[Product Category]])</f>
        <v>2000_Clothing</v>
      </c>
    </row>
    <row r="666" spans="1:12">
      <c r="A666">
        <v>665</v>
      </c>
      <c r="B666">
        <v>45036</v>
      </c>
      <c r="C666" t="s">
        <v>693</v>
      </c>
      <c r="D666" t="s">
        <v>13</v>
      </c>
      <c r="E666">
        <v>57</v>
      </c>
      <c r="F666" t="s">
        <v>18</v>
      </c>
      <c r="G666">
        <v>1</v>
      </c>
      <c r="H666">
        <v>50</v>
      </c>
      <c r="I666">
        <f t="shared" si="20"/>
        <v>50</v>
      </c>
      <c r="J666" s="4">
        <f t="shared" si="21"/>
        <v>0.75</v>
      </c>
      <c r="K666" t="str">
        <f>IF(RetailSales[[#This Row],[Age]]&lt;30,"Young Adult",IF(RetailSales[[#This Row],[Age]]&lt;50,"Adult","Senior"))</f>
        <v>Senior</v>
      </c>
      <c r="L666" t="str">
        <f>_xlfn.CONCAT(I666,"_",RetailSales[[#This Row],[Product Category]])</f>
        <v>50_Clothing</v>
      </c>
    </row>
    <row r="667" spans="1:12">
      <c r="A667">
        <v>666</v>
      </c>
      <c r="B667">
        <v>44959</v>
      </c>
      <c r="C667" t="s">
        <v>694</v>
      </c>
      <c r="D667" t="s">
        <v>13</v>
      </c>
      <c r="E667">
        <v>51</v>
      </c>
      <c r="F667" t="s">
        <v>20</v>
      </c>
      <c r="G667">
        <v>3</v>
      </c>
      <c r="H667">
        <v>50</v>
      </c>
      <c r="I667">
        <f t="shared" si="20"/>
        <v>150</v>
      </c>
      <c r="J667" s="4">
        <f t="shared" si="21"/>
        <v>2.25</v>
      </c>
      <c r="K667" t="str">
        <f>IF(RetailSales[[#This Row],[Age]]&lt;30,"Young Adult",IF(RetailSales[[#This Row],[Age]]&lt;50,"Adult","Senior"))</f>
        <v>Senior</v>
      </c>
      <c r="L667" t="str">
        <f>_xlfn.CONCAT(I667,"_",RetailSales[[#This Row],[Product Category]])</f>
        <v>150_Electronics</v>
      </c>
    </row>
    <row r="668" spans="1:12">
      <c r="A668">
        <v>667</v>
      </c>
      <c r="B668">
        <v>45139</v>
      </c>
      <c r="C668" t="s">
        <v>695</v>
      </c>
      <c r="D668" t="s">
        <v>17</v>
      </c>
      <c r="E668">
        <v>29</v>
      </c>
      <c r="F668" t="s">
        <v>20</v>
      </c>
      <c r="G668">
        <v>1</v>
      </c>
      <c r="H668">
        <v>500</v>
      </c>
      <c r="I668">
        <f t="shared" si="20"/>
        <v>500</v>
      </c>
      <c r="J668" s="4">
        <f t="shared" si="21"/>
        <v>7.5</v>
      </c>
      <c r="K668" t="str">
        <f>IF(RetailSales[[#This Row],[Age]]&lt;30,"Young Adult",IF(RetailSales[[#This Row],[Age]]&lt;50,"Adult","Senior"))</f>
        <v>Young Adult</v>
      </c>
      <c r="L668" t="str">
        <f>_xlfn.CONCAT(I668,"_",RetailSales[[#This Row],[Product Category]])</f>
        <v>500_Electronics</v>
      </c>
    </row>
    <row r="669" spans="1:12">
      <c r="A669">
        <v>668</v>
      </c>
      <c r="B669">
        <v>45135</v>
      </c>
      <c r="C669" t="s">
        <v>696</v>
      </c>
      <c r="D669" t="s">
        <v>17</v>
      </c>
      <c r="E669">
        <v>62</v>
      </c>
      <c r="F669" t="s">
        <v>20</v>
      </c>
      <c r="G669">
        <v>3</v>
      </c>
      <c r="H669">
        <v>50</v>
      </c>
      <c r="I669">
        <f t="shared" si="20"/>
        <v>150</v>
      </c>
      <c r="J669" s="4">
        <f t="shared" si="21"/>
        <v>2.25</v>
      </c>
      <c r="K669" t="str">
        <f>IF(RetailSales[[#This Row],[Age]]&lt;30,"Young Adult",IF(RetailSales[[#This Row],[Age]]&lt;50,"Adult","Senior"))</f>
        <v>Senior</v>
      </c>
      <c r="L669" t="str">
        <f>_xlfn.CONCAT(I669,"_",RetailSales[[#This Row],[Product Category]])</f>
        <v>150_Electronics</v>
      </c>
    </row>
    <row r="670" spans="1:12">
      <c r="A670">
        <v>669</v>
      </c>
      <c r="B670">
        <v>45096</v>
      </c>
      <c r="C670" t="s">
        <v>697</v>
      </c>
      <c r="D670" t="s">
        <v>13</v>
      </c>
      <c r="E670">
        <v>24</v>
      </c>
      <c r="F670" t="s">
        <v>14</v>
      </c>
      <c r="G670">
        <v>4</v>
      </c>
      <c r="H670">
        <v>300</v>
      </c>
      <c r="I670">
        <f t="shared" si="20"/>
        <v>1200</v>
      </c>
      <c r="J670" s="4">
        <f t="shared" si="21"/>
        <v>18</v>
      </c>
      <c r="K670" t="str">
        <f>IF(RetailSales[[#This Row],[Age]]&lt;30,"Young Adult",IF(RetailSales[[#This Row],[Age]]&lt;50,"Adult","Senior"))</f>
        <v>Young Adult</v>
      </c>
      <c r="L670" t="str">
        <f>_xlfn.CONCAT(I670,"_",RetailSales[[#This Row],[Product Category]])</f>
        <v>1200_Beauty</v>
      </c>
    </row>
    <row r="671" spans="1:12">
      <c r="A671">
        <v>670</v>
      </c>
      <c r="B671">
        <v>45204</v>
      </c>
      <c r="C671" t="s">
        <v>698</v>
      </c>
      <c r="D671" t="s">
        <v>13</v>
      </c>
      <c r="E671">
        <v>27</v>
      </c>
      <c r="F671" t="s">
        <v>14</v>
      </c>
      <c r="G671">
        <v>1</v>
      </c>
      <c r="H671">
        <v>30</v>
      </c>
      <c r="I671">
        <f t="shared" si="20"/>
        <v>30</v>
      </c>
      <c r="J671" s="4">
        <f t="shared" si="21"/>
        <v>0.44999999999999996</v>
      </c>
      <c r="K671" t="str">
        <f>IF(RetailSales[[#This Row],[Age]]&lt;30,"Young Adult",IF(RetailSales[[#This Row],[Age]]&lt;50,"Adult","Senior"))</f>
        <v>Young Adult</v>
      </c>
      <c r="L671" t="str">
        <f>_xlfn.CONCAT(I671,"_",RetailSales[[#This Row],[Product Category]])</f>
        <v>30_Beauty</v>
      </c>
    </row>
    <row r="672" spans="1:12">
      <c r="A672">
        <v>671</v>
      </c>
      <c r="B672">
        <v>45165</v>
      </c>
      <c r="C672" t="s">
        <v>699</v>
      </c>
      <c r="D672" t="s">
        <v>13</v>
      </c>
      <c r="E672">
        <v>62</v>
      </c>
      <c r="F672" t="s">
        <v>20</v>
      </c>
      <c r="G672">
        <v>3</v>
      </c>
      <c r="H672">
        <v>50</v>
      </c>
      <c r="I672">
        <f t="shared" si="20"/>
        <v>150</v>
      </c>
      <c r="J672" s="4">
        <f t="shared" si="21"/>
        <v>2.25</v>
      </c>
      <c r="K672" t="str">
        <f>IF(RetailSales[[#This Row],[Age]]&lt;30,"Young Adult",IF(RetailSales[[#This Row],[Age]]&lt;50,"Adult","Senior"))</f>
        <v>Senior</v>
      </c>
      <c r="L672" t="str">
        <f>_xlfn.CONCAT(I672,"_",RetailSales[[#This Row],[Product Category]])</f>
        <v>150_Electronics</v>
      </c>
    </row>
    <row r="673" spans="1:12">
      <c r="A673">
        <v>672</v>
      </c>
      <c r="B673">
        <v>45139</v>
      </c>
      <c r="C673" t="s">
        <v>700</v>
      </c>
      <c r="D673" t="s">
        <v>17</v>
      </c>
      <c r="E673">
        <v>34</v>
      </c>
      <c r="F673" t="s">
        <v>14</v>
      </c>
      <c r="G673">
        <v>2</v>
      </c>
      <c r="H673">
        <v>50</v>
      </c>
      <c r="I673">
        <f t="shared" si="20"/>
        <v>100</v>
      </c>
      <c r="J673" s="4">
        <f t="shared" si="21"/>
        <v>1.5</v>
      </c>
      <c r="K673" t="str">
        <f>IF(RetailSales[[#This Row],[Age]]&lt;30,"Young Adult",IF(RetailSales[[#This Row],[Age]]&lt;50,"Adult","Senior"))</f>
        <v>Adult</v>
      </c>
      <c r="L673" t="str">
        <f>_xlfn.CONCAT(I673,"_",RetailSales[[#This Row],[Product Category]])</f>
        <v>100_Beauty</v>
      </c>
    </row>
    <row r="674" spans="1:12">
      <c r="A674">
        <v>673</v>
      </c>
      <c r="B674">
        <v>44958</v>
      </c>
      <c r="C674" t="s">
        <v>701</v>
      </c>
      <c r="D674" t="s">
        <v>17</v>
      </c>
      <c r="E674">
        <v>43</v>
      </c>
      <c r="F674" t="s">
        <v>18</v>
      </c>
      <c r="G674">
        <v>3</v>
      </c>
      <c r="H674">
        <v>500</v>
      </c>
      <c r="I674">
        <f t="shared" si="20"/>
        <v>1500</v>
      </c>
      <c r="J674" s="4">
        <f t="shared" si="21"/>
        <v>22.5</v>
      </c>
      <c r="K674" t="str">
        <f>IF(RetailSales[[#This Row],[Age]]&lt;30,"Young Adult",IF(RetailSales[[#This Row],[Age]]&lt;50,"Adult","Senior"))</f>
        <v>Adult</v>
      </c>
      <c r="L674" t="str">
        <f>_xlfn.CONCAT(I674,"_",RetailSales[[#This Row],[Product Category]])</f>
        <v>1500_Clothing</v>
      </c>
    </row>
    <row r="675" spans="1:12">
      <c r="A675">
        <v>674</v>
      </c>
      <c r="B675">
        <v>45032</v>
      </c>
      <c r="C675" t="s">
        <v>702</v>
      </c>
      <c r="D675" t="s">
        <v>17</v>
      </c>
      <c r="E675">
        <v>38</v>
      </c>
      <c r="F675" t="s">
        <v>18</v>
      </c>
      <c r="G675">
        <v>1</v>
      </c>
      <c r="H675">
        <v>300</v>
      </c>
      <c r="I675">
        <f t="shared" si="20"/>
        <v>300</v>
      </c>
      <c r="J675" s="4">
        <f t="shared" si="21"/>
        <v>4.5</v>
      </c>
      <c r="K675" t="str">
        <f>IF(RetailSales[[#This Row],[Age]]&lt;30,"Young Adult",IF(RetailSales[[#This Row],[Age]]&lt;50,"Adult","Senior"))</f>
        <v>Adult</v>
      </c>
      <c r="L675" t="str">
        <f>_xlfn.CONCAT(I675,"_",RetailSales[[#This Row],[Product Category]])</f>
        <v>300_Clothing</v>
      </c>
    </row>
    <row r="676" spans="1:12">
      <c r="A676">
        <v>675</v>
      </c>
      <c r="B676">
        <v>45142</v>
      </c>
      <c r="C676" t="s">
        <v>703</v>
      </c>
      <c r="D676" t="s">
        <v>17</v>
      </c>
      <c r="E676">
        <v>45</v>
      </c>
      <c r="F676" t="s">
        <v>18</v>
      </c>
      <c r="G676">
        <v>2</v>
      </c>
      <c r="H676">
        <v>30</v>
      </c>
      <c r="I676">
        <f t="shared" si="20"/>
        <v>60</v>
      </c>
      <c r="J676" s="4">
        <f t="shared" si="21"/>
        <v>0.89999999999999991</v>
      </c>
      <c r="K676" t="str">
        <f>IF(RetailSales[[#This Row],[Age]]&lt;30,"Young Adult",IF(RetailSales[[#This Row],[Age]]&lt;50,"Adult","Senior"))</f>
        <v>Adult</v>
      </c>
      <c r="L676" t="str">
        <f>_xlfn.CONCAT(I676,"_",RetailSales[[#This Row],[Product Category]])</f>
        <v>60_Clothing</v>
      </c>
    </row>
    <row r="677" spans="1:12">
      <c r="A677">
        <v>676</v>
      </c>
      <c r="B677">
        <v>45126</v>
      </c>
      <c r="C677" t="s">
        <v>704</v>
      </c>
      <c r="D677" t="s">
        <v>13</v>
      </c>
      <c r="E677">
        <v>63</v>
      </c>
      <c r="F677" t="s">
        <v>20</v>
      </c>
      <c r="G677">
        <v>3</v>
      </c>
      <c r="H677">
        <v>500</v>
      </c>
      <c r="I677">
        <f t="shared" si="20"/>
        <v>1500</v>
      </c>
      <c r="J677" s="4">
        <f t="shared" si="21"/>
        <v>22.5</v>
      </c>
      <c r="K677" t="str">
        <f>IF(RetailSales[[#This Row],[Age]]&lt;30,"Young Adult",IF(RetailSales[[#This Row],[Age]]&lt;50,"Adult","Senior"))</f>
        <v>Senior</v>
      </c>
      <c r="L677" t="str">
        <f>_xlfn.CONCAT(I677,"_",RetailSales[[#This Row],[Product Category]])</f>
        <v>1500_Electronics</v>
      </c>
    </row>
    <row r="678" spans="1:12">
      <c r="A678">
        <v>677</v>
      </c>
      <c r="B678">
        <v>45226</v>
      </c>
      <c r="C678" t="s">
        <v>705</v>
      </c>
      <c r="D678" t="s">
        <v>17</v>
      </c>
      <c r="E678">
        <v>19</v>
      </c>
      <c r="F678" t="s">
        <v>14</v>
      </c>
      <c r="G678">
        <v>3</v>
      </c>
      <c r="H678">
        <v>500</v>
      </c>
      <c r="I678">
        <f t="shared" si="20"/>
        <v>1500</v>
      </c>
      <c r="J678" s="4">
        <f t="shared" si="21"/>
        <v>22.5</v>
      </c>
      <c r="K678" t="str">
        <f>IF(RetailSales[[#This Row],[Age]]&lt;30,"Young Adult",IF(RetailSales[[#This Row],[Age]]&lt;50,"Adult","Senior"))</f>
        <v>Young Adult</v>
      </c>
      <c r="L678" t="str">
        <f>_xlfn.CONCAT(I678,"_",RetailSales[[#This Row],[Product Category]])</f>
        <v>1500_Beauty</v>
      </c>
    </row>
    <row r="679" spans="1:12">
      <c r="A679">
        <v>678</v>
      </c>
      <c r="B679">
        <v>45283</v>
      </c>
      <c r="C679" t="s">
        <v>706</v>
      </c>
      <c r="D679" t="s">
        <v>17</v>
      </c>
      <c r="E679">
        <v>60</v>
      </c>
      <c r="F679" t="s">
        <v>20</v>
      </c>
      <c r="G679">
        <v>3</v>
      </c>
      <c r="H679">
        <v>300</v>
      </c>
      <c r="I679">
        <f t="shared" si="20"/>
        <v>900</v>
      </c>
      <c r="J679" s="4">
        <f t="shared" si="21"/>
        <v>13.5</v>
      </c>
      <c r="K679" t="str">
        <f>IF(RetailSales[[#This Row],[Age]]&lt;30,"Young Adult",IF(RetailSales[[#This Row],[Age]]&lt;50,"Adult","Senior"))</f>
        <v>Senior</v>
      </c>
      <c r="L679" t="str">
        <f>_xlfn.CONCAT(I679,"_",RetailSales[[#This Row],[Product Category]])</f>
        <v>900_Electronics</v>
      </c>
    </row>
    <row r="680" spans="1:12">
      <c r="A680">
        <v>679</v>
      </c>
      <c r="B680">
        <v>44937</v>
      </c>
      <c r="C680" t="s">
        <v>707</v>
      </c>
      <c r="D680" t="s">
        <v>17</v>
      </c>
      <c r="E680">
        <v>18</v>
      </c>
      <c r="F680" t="s">
        <v>14</v>
      </c>
      <c r="G680">
        <v>3</v>
      </c>
      <c r="H680">
        <v>30</v>
      </c>
      <c r="I680">
        <f t="shared" si="20"/>
        <v>90</v>
      </c>
      <c r="J680" s="4">
        <f t="shared" si="21"/>
        <v>1.3499999999999999</v>
      </c>
      <c r="K680" t="str">
        <f>IF(RetailSales[[#This Row],[Age]]&lt;30,"Young Adult",IF(RetailSales[[#This Row],[Age]]&lt;50,"Adult","Senior"))</f>
        <v>Young Adult</v>
      </c>
      <c r="L680" t="str">
        <f>_xlfn.CONCAT(I680,"_",RetailSales[[#This Row],[Product Category]])</f>
        <v>90_Beauty</v>
      </c>
    </row>
    <row r="681" spans="1:12">
      <c r="A681">
        <v>680</v>
      </c>
      <c r="B681">
        <v>45221</v>
      </c>
      <c r="C681" t="s">
        <v>708</v>
      </c>
      <c r="D681" t="s">
        <v>17</v>
      </c>
      <c r="E681">
        <v>53</v>
      </c>
      <c r="F681" t="s">
        <v>18</v>
      </c>
      <c r="G681">
        <v>3</v>
      </c>
      <c r="H681">
        <v>300</v>
      </c>
      <c r="I681">
        <f t="shared" si="20"/>
        <v>900</v>
      </c>
      <c r="J681" s="4">
        <f t="shared" si="21"/>
        <v>13.5</v>
      </c>
      <c r="K681" t="str">
        <f>IF(RetailSales[[#This Row],[Age]]&lt;30,"Young Adult",IF(RetailSales[[#This Row],[Age]]&lt;50,"Adult","Senior"))</f>
        <v>Senior</v>
      </c>
      <c r="L681" t="str">
        <f>_xlfn.CONCAT(I681,"_",RetailSales[[#This Row],[Product Category]])</f>
        <v>900_Clothing</v>
      </c>
    </row>
    <row r="682" spans="1:12">
      <c r="A682">
        <v>681</v>
      </c>
      <c r="B682">
        <v>45121</v>
      </c>
      <c r="C682" t="s">
        <v>709</v>
      </c>
      <c r="D682" t="s">
        <v>17</v>
      </c>
      <c r="E682">
        <v>43</v>
      </c>
      <c r="F682" t="s">
        <v>20</v>
      </c>
      <c r="G682">
        <v>2</v>
      </c>
      <c r="H682">
        <v>30</v>
      </c>
      <c r="I682">
        <f t="shared" si="20"/>
        <v>60</v>
      </c>
      <c r="J682" s="4">
        <f t="shared" si="21"/>
        <v>0.89999999999999991</v>
      </c>
      <c r="K682" t="str">
        <f>IF(RetailSales[[#This Row],[Age]]&lt;30,"Young Adult",IF(RetailSales[[#This Row],[Age]]&lt;50,"Adult","Senior"))</f>
        <v>Adult</v>
      </c>
      <c r="L682" t="str">
        <f>_xlfn.CONCAT(I682,"_",RetailSales[[#This Row],[Product Category]])</f>
        <v>60_Electronics</v>
      </c>
    </row>
    <row r="683" spans="1:12">
      <c r="A683">
        <v>682</v>
      </c>
      <c r="B683">
        <v>45171</v>
      </c>
      <c r="C683" t="s">
        <v>710</v>
      </c>
      <c r="D683" t="s">
        <v>13</v>
      </c>
      <c r="E683">
        <v>46</v>
      </c>
      <c r="F683" t="s">
        <v>14</v>
      </c>
      <c r="G683">
        <v>4</v>
      </c>
      <c r="H683">
        <v>300</v>
      </c>
      <c r="I683">
        <f t="shared" si="20"/>
        <v>1200</v>
      </c>
      <c r="J683" s="4">
        <f t="shared" si="21"/>
        <v>18</v>
      </c>
      <c r="K683" t="str">
        <f>IF(RetailSales[[#This Row],[Age]]&lt;30,"Young Adult",IF(RetailSales[[#This Row],[Age]]&lt;50,"Adult","Senior"))</f>
        <v>Adult</v>
      </c>
      <c r="L683" t="str">
        <f>_xlfn.CONCAT(I683,"_",RetailSales[[#This Row],[Product Category]])</f>
        <v>1200_Beauty</v>
      </c>
    </row>
    <row r="684" spans="1:12">
      <c r="A684">
        <v>683</v>
      </c>
      <c r="B684">
        <v>44930</v>
      </c>
      <c r="C684" t="s">
        <v>711</v>
      </c>
      <c r="D684" t="s">
        <v>13</v>
      </c>
      <c r="E684">
        <v>38</v>
      </c>
      <c r="F684" t="s">
        <v>14</v>
      </c>
      <c r="G684">
        <v>2</v>
      </c>
      <c r="H684">
        <v>500</v>
      </c>
      <c r="I684">
        <f t="shared" si="20"/>
        <v>1000</v>
      </c>
      <c r="J684" s="4">
        <f t="shared" si="21"/>
        <v>15</v>
      </c>
      <c r="K684" t="str">
        <f>IF(RetailSales[[#This Row],[Age]]&lt;30,"Young Adult",IF(RetailSales[[#This Row],[Age]]&lt;50,"Adult","Senior"))</f>
        <v>Adult</v>
      </c>
      <c r="L684" t="str">
        <f>_xlfn.CONCAT(I684,"_",RetailSales[[#This Row],[Product Category]])</f>
        <v>1000_Beauty</v>
      </c>
    </row>
    <row r="685" spans="1:12">
      <c r="A685">
        <v>684</v>
      </c>
      <c r="B685">
        <v>45107</v>
      </c>
      <c r="C685" t="s">
        <v>712</v>
      </c>
      <c r="D685" t="s">
        <v>17</v>
      </c>
      <c r="E685">
        <v>28</v>
      </c>
      <c r="F685" t="s">
        <v>18</v>
      </c>
      <c r="G685">
        <v>2</v>
      </c>
      <c r="H685">
        <v>500</v>
      </c>
      <c r="I685">
        <f t="shared" si="20"/>
        <v>1000</v>
      </c>
      <c r="J685" s="4">
        <f t="shared" si="21"/>
        <v>15</v>
      </c>
      <c r="K685" t="str">
        <f>IF(RetailSales[[#This Row],[Age]]&lt;30,"Young Adult",IF(RetailSales[[#This Row],[Age]]&lt;50,"Adult","Senior"))</f>
        <v>Young Adult</v>
      </c>
      <c r="L685" t="str">
        <f>_xlfn.CONCAT(I685,"_",RetailSales[[#This Row],[Product Category]])</f>
        <v>1000_Clothing</v>
      </c>
    </row>
    <row r="686" spans="1:12">
      <c r="A686">
        <v>685</v>
      </c>
      <c r="B686">
        <v>45079</v>
      </c>
      <c r="C686" t="s">
        <v>713</v>
      </c>
      <c r="D686" t="s">
        <v>13</v>
      </c>
      <c r="E686">
        <v>57</v>
      </c>
      <c r="F686" t="s">
        <v>20</v>
      </c>
      <c r="G686">
        <v>2</v>
      </c>
      <c r="H686">
        <v>25</v>
      </c>
      <c r="I686">
        <f t="shared" si="20"/>
        <v>50</v>
      </c>
      <c r="J686" s="4">
        <f t="shared" si="21"/>
        <v>0.75</v>
      </c>
      <c r="K686" t="str">
        <f>IF(RetailSales[[#This Row],[Age]]&lt;30,"Young Adult",IF(RetailSales[[#This Row],[Age]]&lt;50,"Adult","Senior"))</f>
        <v>Senior</v>
      </c>
      <c r="L686" t="str">
        <f>_xlfn.CONCAT(I686,"_",RetailSales[[#This Row],[Product Category]])</f>
        <v>50_Electronics</v>
      </c>
    </row>
    <row r="687" spans="1:12">
      <c r="A687">
        <v>686</v>
      </c>
      <c r="B687">
        <v>45126</v>
      </c>
      <c r="C687" t="s">
        <v>714</v>
      </c>
      <c r="D687" t="s">
        <v>17</v>
      </c>
      <c r="E687">
        <v>28</v>
      </c>
      <c r="F687" t="s">
        <v>20</v>
      </c>
      <c r="G687">
        <v>4</v>
      </c>
      <c r="H687">
        <v>50</v>
      </c>
      <c r="I687">
        <f t="shared" si="20"/>
        <v>200</v>
      </c>
      <c r="J687" s="4">
        <f t="shared" si="21"/>
        <v>3</v>
      </c>
      <c r="K687" t="str">
        <f>IF(RetailSales[[#This Row],[Age]]&lt;30,"Young Adult",IF(RetailSales[[#This Row],[Age]]&lt;50,"Adult","Senior"))</f>
        <v>Young Adult</v>
      </c>
      <c r="L687" t="str">
        <f>_xlfn.CONCAT(I687,"_",RetailSales[[#This Row],[Product Category]])</f>
        <v>200_Electronics</v>
      </c>
    </row>
    <row r="688" spans="1:12">
      <c r="A688">
        <v>687</v>
      </c>
      <c r="B688">
        <v>45141</v>
      </c>
      <c r="C688" t="s">
        <v>715</v>
      </c>
      <c r="D688" t="s">
        <v>17</v>
      </c>
      <c r="E688">
        <v>53</v>
      </c>
      <c r="F688" t="s">
        <v>20</v>
      </c>
      <c r="G688">
        <v>1</v>
      </c>
      <c r="H688">
        <v>300</v>
      </c>
      <c r="I688">
        <f t="shared" si="20"/>
        <v>300</v>
      </c>
      <c r="J688" s="4">
        <f t="shared" si="21"/>
        <v>4.5</v>
      </c>
      <c r="K688" t="str">
        <f>IF(RetailSales[[#This Row],[Age]]&lt;30,"Young Adult",IF(RetailSales[[#This Row],[Age]]&lt;50,"Adult","Senior"))</f>
        <v>Senior</v>
      </c>
      <c r="L688" t="str">
        <f>_xlfn.CONCAT(I688,"_",RetailSales[[#This Row],[Product Category]])</f>
        <v>300_Electronics</v>
      </c>
    </row>
    <row r="689" spans="1:12">
      <c r="A689">
        <v>688</v>
      </c>
      <c r="B689">
        <v>45202</v>
      </c>
      <c r="C689" t="s">
        <v>716</v>
      </c>
      <c r="D689" t="s">
        <v>13</v>
      </c>
      <c r="E689">
        <v>56</v>
      </c>
      <c r="F689" t="s">
        <v>18</v>
      </c>
      <c r="G689">
        <v>4</v>
      </c>
      <c r="H689">
        <v>25</v>
      </c>
      <c r="I689">
        <f t="shared" si="20"/>
        <v>100</v>
      </c>
      <c r="J689" s="4">
        <f t="shared" si="21"/>
        <v>1.5</v>
      </c>
      <c r="K689" t="str">
        <f>IF(RetailSales[[#This Row],[Age]]&lt;30,"Young Adult",IF(RetailSales[[#This Row],[Age]]&lt;50,"Adult","Senior"))</f>
        <v>Senior</v>
      </c>
      <c r="L689" t="str">
        <f>_xlfn.CONCAT(I689,"_",RetailSales[[#This Row],[Product Category]])</f>
        <v>100_Clothing</v>
      </c>
    </row>
    <row r="690" spans="1:12">
      <c r="A690">
        <v>689</v>
      </c>
      <c r="B690">
        <v>45206</v>
      </c>
      <c r="C690" t="s">
        <v>717</v>
      </c>
      <c r="D690" t="s">
        <v>13</v>
      </c>
      <c r="E690">
        <v>57</v>
      </c>
      <c r="F690" t="s">
        <v>20</v>
      </c>
      <c r="G690">
        <v>2</v>
      </c>
      <c r="H690">
        <v>50</v>
      </c>
      <c r="I690">
        <f t="shared" si="20"/>
        <v>100</v>
      </c>
      <c r="J690" s="4">
        <f t="shared" si="21"/>
        <v>1.5</v>
      </c>
      <c r="K690" t="str">
        <f>IF(RetailSales[[#This Row],[Age]]&lt;30,"Young Adult",IF(RetailSales[[#This Row],[Age]]&lt;50,"Adult","Senior"))</f>
        <v>Senior</v>
      </c>
      <c r="L690" t="str">
        <f>_xlfn.CONCAT(I690,"_",RetailSales[[#This Row],[Product Category]])</f>
        <v>100_Electronics</v>
      </c>
    </row>
    <row r="691" spans="1:12">
      <c r="A691">
        <v>690</v>
      </c>
      <c r="B691">
        <v>45235</v>
      </c>
      <c r="C691" t="s">
        <v>718</v>
      </c>
      <c r="D691" t="s">
        <v>17</v>
      </c>
      <c r="E691">
        <v>52</v>
      </c>
      <c r="F691" t="s">
        <v>18</v>
      </c>
      <c r="G691">
        <v>3</v>
      </c>
      <c r="H691">
        <v>300</v>
      </c>
      <c r="I691">
        <f t="shared" si="20"/>
        <v>900</v>
      </c>
      <c r="J691" s="4">
        <f t="shared" si="21"/>
        <v>13.5</v>
      </c>
      <c r="K691" t="str">
        <f>IF(RetailSales[[#This Row],[Age]]&lt;30,"Young Adult",IF(RetailSales[[#This Row],[Age]]&lt;50,"Adult","Senior"))</f>
        <v>Senior</v>
      </c>
      <c r="L691" t="str">
        <f>_xlfn.CONCAT(I691,"_",RetailSales[[#This Row],[Product Category]])</f>
        <v>900_Clothing</v>
      </c>
    </row>
    <row r="692" spans="1:12">
      <c r="A692">
        <v>691</v>
      </c>
      <c r="B692">
        <v>45039</v>
      </c>
      <c r="C692" t="s">
        <v>719</v>
      </c>
      <c r="D692" t="s">
        <v>17</v>
      </c>
      <c r="E692">
        <v>51</v>
      </c>
      <c r="F692" t="s">
        <v>18</v>
      </c>
      <c r="G692">
        <v>3</v>
      </c>
      <c r="H692">
        <v>30</v>
      </c>
      <c r="I692">
        <f t="shared" si="20"/>
        <v>90</v>
      </c>
      <c r="J692" s="4">
        <f t="shared" si="21"/>
        <v>1.3499999999999999</v>
      </c>
      <c r="K692" t="str">
        <f>IF(RetailSales[[#This Row],[Age]]&lt;30,"Young Adult",IF(RetailSales[[#This Row],[Age]]&lt;50,"Adult","Senior"))</f>
        <v>Senior</v>
      </c>
      <c r="L692" t="str">
        <f>_xlfn.CONCAT(I692,"_",RetailSales[[#This Row],[Product Category]])</f>
        <v>90_Clothing</v>
      </c>
    </row>
    <row r="693" spans="1:12">
      <c r="A693">
        <v>692</v>
      </c>
      <c r="B693">
        <v>45176</v>
      </c>
      <c r="C693" t="s">
        <v>720</v>
      </c>
      <c r="D693" t="s">
        <v>17</v>
      </c>
      <c r="E693">
        <v>64</v>
      </c>
      <c r="F693" t="s">
        <v>18</v>
      </c>
      <c r="G693">
        <v>2</v>
      </c>
      <c r="H693">
        <v>50</v>
      </c>
      <c r="I693">
        <f t="shared" si="20"/>
        <v>100</v>
      </c>
      <c r="J693" s="4">
        <f t="shared" si="21"/>
        <v>1.5</v>
      </c>
      <c r="K693" t="str">
        <f>IF(RetailSales[[#This Row],[Age]]&lt;30,"Young Adult",IF(RetailSales[[#This Row],[Age]]&lt;50,"Adult","Senior"))</f>
        <v>Senior</v>
      </c>
      <c r="L693" t="str">
        <f>_xlfn.CONCAT(I693,"_",RetailSales[[#This Row],[Product Category]])</f>
        <v>100_Clothing</v>
      </c>
    </row>
    <row r="694" spans="1:12">
      <c r="A694">
        <v>693</v>
      </c>
      <c r="B694">
        <v>45039</v>
      </c>
      <c r="C694" t="s">
        <v>721</v>
      </c>
      <c r="D694" t="s">
        <v>13</v>
      </c>
      <c r="E694">
        <v>41</v>
      </c>
      <c r="F694" t="s">
        <v>14</v>
      </c>
      <c r="G694">
        <v>3</v>
      </c>
      <c r="H694">
        <v>500</v>
      </c>
      <c r="I694">
        <f t="shared" si="20"/>
        <v>1500</v>
      </c>
      <c r="J694" s="4">
        <f t="shared" si="21"/>
        <v>22.5</v>
      </c>
      <c r="K694" t="str">
        <f>IF(RetailSales[[#This Row],[Age]]&lt;30,"Young Adult",IF(RetailSales[[#This Row],[Age]]&lt;50,"Adult","Senior"))</f>
        <v>Adult</v>
      </c>
      <c r="L694" t="str">
        <f>_xlfn.CONCAT(I694,"_",RetailSales[[#This Row],[Product Category]])</f>
        <v>1500_Beauty</v>
      </c>
    </row>
    <row r="695" spans="1:12">
      <c r="A695">
        <v>694</v>
      </c>
      <c r="B695">
        <v>45066</v>
      </c>
      <c r="C695" t="s">
        <v>722</v>
      </c>
      <c r="D695" t="s">
        <v>17</v>
      </c>
      <c r="E695">
        <v>39</v>
      </c>
      <c r="F695" t="s">
        <v>20</v>
      </c>
      <c r="G695">
        <v>2</v>
      </c>
      <c r="H695">
        <v>25</v>
      </c>
      <c r="I695">
        <f t="shared" si="20"/>
        <v>50</v>
      </c>
      <c r="J695" s="4">
        <f t="shared" si="21"/>
        <v>0.75</v>
      </c>
      <c r="K695" t="str">
        <f>IF(RetailSales[[#This Row],[Age]]&lt;30,"Young Adult",IF(RetailSales[[#This Row],[Age]]&lt;50,"Adult","Senior"))</f>
        <v>Adult</v>
      </c>
      <c r="L695" t="str">
        <f>_xlfn.CONCAT(I695,"_",RetailSales[[#This Row],[Product Category]])</f>
        <v>50_Electronics</v>
      </c>
    </row>
    <row r="696" spans="1:12">
      <c r="A696">
        <v>695</v>
      </c>
      <c r="B696">
        <v>45150</v>
      </c>
      <c r="C696" t="s">
        <v>723</v>
      </c>
      <c r="D696" t="s">
        <v>17</v>
      </c>
      <c r="E696">
        <v>22</v>
      </c>
      <c r="F696" t="s">
        <v>20</v>
      </c>
      <c r="G696">
        <v>3</v>
      </c>
      <c r="H696">
        <v>50</v>
      </c>
      <c r="I696">
        <f t="shared" si="20"/>
        <v>150</v>
      </c>
      <c r="J696" s="4">
        <f t="shared" si="21"/>
        <v>2.25</v>
      </c>
      <c r="K696" t="str">
        <f>IF(RetailSales[[#This Row],[Age]]&lt;30,"Young Adult",IF(RetailSales[[#This Row],[Age]]&lt;50,"Adult","Senior"))</f>
        <v>Young Adult</v>
      </c>
      <c r="L696" t="str">
        <f>_xlfn.CONCAT(I696,"_",RetailSales[[#This Row],[Product Category]])</f>
        <v>150_Electronics</v>
      </c>
    </row>
    <row r="697" spans="1:12">
      <c r="A697">
        <v>696</v>
      </c>
      <c r="B697">
        <v>45175</v>
      </c>
      <c r="C697" t="s">
        <v>724</v>
      </c>
      <c r="D697" t="s">
        <v>17</v>
      </c>
      <c r="E697">
        <v>50</v>
      </c>
      <c r="F697" t="s">
        <v>18</v>
      </c>
      <c r="G697">
        <v>4</v>
      </c>
      <c r="H697">
        <v>50</v>
      </c>
      <c r="I697">
        <f t="shared" si="20"/>
        <v>200</v>
      </c>
      <c r="J697" s="4">
        <f t="shared" si="21"/>
        <v>3</v>
      </c>
      <c r="K697" t="str">
        <f>IF(RetailSales[[#This Row],[Age]]&lt;30,"Young Adult",IF(RetailSales[[#This Row],[Age]]&lt;50,"Adult","Senior"))</f>
        <v>Senior</v>
      </c>
      <c r="L697" t="str">
        <f>_xlfn.CONCAT(I697,"_",RetailSales[[#This Row],[Product Category]])</f>
        <v>200_Clothing</v>
      </c>
    </row>
    <row r="698" spans="1:12">
      <c r="A698">
        <v>697</v>
      </c>
      <c r="B698">
        <v>44941</v>
      </c>
      <c r="C698" t="s">
        <v>725</v>
      </c>
      <c r="D698" t="s">
        <v>13</v>
      </c>
      <c r="E698">
        <v>53</v>
      </c>
      <c r="F698" t="s">
        <v>18</v>
      </c>
      <c r="G698">
        <v>1</v>
      </c>
      <c r="H698">
        <v>500</v>
      </c>
      <c r="I698">
        <f t="shared" si="20"/>
        <v>500</v>
      </c>
      <c r="J698" s="4">
        <f t="shared" si="21"/>
        <v>7.5</v>
      </c>
      <c r="K698" t="str">
        <f>IF(RetailSales[[#This Row],[Age]]&lt;30,"Young Adult",IF(RetailSales[[#This Row],[Age]]&lt;50,"Adult","Senior"))</f>
        <v>Senior</v>
      </c>
      <c r="L698" t="str">
        <f>_xlfn.CONCAT(I698,"_",RetailSales[[#This Row],[Product Category]])</f>
        <v>500_Clothing</v>
      </c>
    </row>
    <row r="699" spans="1:12">
      <c r="A699">
        <v>698</v>
      </c>
      <c r="B699">
        <v>45126</v>
      </c>
      <c r="C699" t="s">
        <v>726</v>
      </c>
      <c r="D699" t="s">
        <v>17</v>
      </c>
      <c r="E699">
        <v>64</v>
      </c>
      <c r="F699" t="s">
        <v>20</v>
      </c>
      <c r="G699">
        <v>1</v>
      </c>
      <c r="H699">
        <v>300</v>
      </c>
      <c r="I699">
        <f t="shared" si="20"/>
        <v>300</v>
      </c>
      <c r="J699" s="4">
        <f t="shared" si="21"/>
        <v>4.5</v>
      </c>
      <c r="K699" t="str">
        <f>IF(RetailSales[[#This Row],[Age]]&lt;30,"Young Adult",IF(RetailSales[[#This Row],[Age]]&lt;50,"Adult","Senior"))</f>
        <v>Senior</v>
      </c>
      <c r="L699" t="str">
        <f>_xlfn.CONCAT(I699,"_",RetailSales[[#This Row],[Product Category]])</f>
        <v>300_Electronics</v>
      </c>
    </row>
    <row r="700" spans="1:12">
      <c r="A700">
        <v>699</v>
      </c>
      <c r="B700">
        <v>45099</v>
      </c>
      <c r="C700" t="s">
        <v>727</v>
      </c>
      <c r="D700" t="s">
        <v>17</v>
      </c>
      <c r="E700">
        <v>37</v>
      </c>
      <c r="F700" t="s">
        <v>18</v>
      </c>
      <c r="G700">
        <v>4</v>
      </c>
      <c r="H700">
        <v>30</v>
      </c>
      <c r="I700">
        <f t="shared" si="20"/>
        <v>120</v>
      </c>
      <c r="J700" s="4">
        <f t="shared" si="21"/>
        <v>1.7999999999999998</v>
      </c>
      <c r="K700" t="str">
        <f>IF(RetailSales[[#This Row],[Age]]&lt;30,"Young Adult",IF(RetailSales[[#This Row],[Age]]&lt;50,"Adult","Senior"))</f>
        <v>Adult</v>
      </c>
      <c r="L700" t="str">
        <f>_xlfn.CONCAT(I700,"_",RetailSales[[#This Row],[Product Category]])</f>
        <v>120_Clothing</v>
      </c>
    </row>
    <row r="701" spans="1:12">
      <c r="A701">
        <v>700</v>
      </c>
      <c r="B701">
        <v>45269</v>
      </c>
      <c r="C701" t="s">
        <v>728</v>
      </c>
      <c r="D701" t="s">
        <v>13</v>
      </c>
      <c r="E701">
        <v>36</v>
      </c>
      <c r="F701" t="s">
        <v>20</v>
      </c>
      <c r="G701">
        <v>4</v>
      </c>
      <c r="H701">
        <v>500</v>
      </c>
      <c r="I701">
        <f t="shared" si="20"/>
        <v>2000</v>
      </c>
      <c r="J701" s="4">
        <f t="shared" si="21"/>
        <v>30</v>
      </c>
      <c r="K701" t="str">
        <f>IF(RetailSales[[#This Row],[Age]]&lt;30,"Young Adult",IF(RetailSales[[#This Row],[Age]]&lt;50,"Adult","Senior"))</f>
        <v>Adult</v>
      </c>
      <c r="L701" t="str">
        <f>_xlfn.CONCAT(I701,"_",RetailSales[[#This Row],[Product Category]])</f>
        <v>2000_Electronics</v>
      </c>
    </row>
    <row r="702" spans="1:12">
      <c r="A702">
        <v>701</v>
      </c>
      <c r="B702">
        <v>45274</v>
      </c>
      <c r="C702" t="s">
        <v>729</v>
      </c>
      <c r="D702" t="s">
        <v>17</v>
      </c>
      <c r="E702">
        <v>52</v>
      </c>
      <c r="F702" t="s">
        <v>14</v>
      </c>
      <c r="G702">
        <v>2</v>
      </c>
      <c r="H702">
        <v>30</v>
      </c>
      <c r="I702">
        <f t="shared" si="20"/>
        <v>60</v>
      </c>
      <c r="J702" s="4">
        <f t="shared" si="21"/>
        <v>0.89999999999999991</v>
      </c>
      <c r="K702" t="str">
        <f>IF(RetailSales[[#This Row],[Age]]&lt;30,"Young Adult",IF(RetailSales[[#This Row],[Age]]&lt;50,"Adult","Senior"))</f>
        <v>Senior</v>
      </c>
      <c r="L702" t="str">
        <f>_xlfn.CONCAT(I702,"_",RetailSales[[#This Row],[Product Category]])</f>
        <v>60_Beauty</v>
      </c>
    </row>
    <row r="703" spans="1:12">
      <c r="A703">
        <v>702</v>
      </c>
      <c r="B703">
        <v>45134</v>
      </c>
      <c r="C703" t="s">
        <v>730</v>
      </c>
      <c r="D703" t="s">
        <v>17</v>
      </c>
      <c r="E703">
        <v>60</v>
      </c>
      <c r="F703" t="s">
        <v>18</v>
      </c>
      <c r="G703">
        <v>2</v>
      </c>
      <c r="H703">
        <v>300</v>
      </c>
      <c r="I703">
        <f t="shared" si="20"/>
        <v>600</v>
      </c>
      <c r="J703" s="4">
        <f t="shared" si="21"/>
        <v>9</v>
      </c>
      <c r="K703" t="str">
        <f>IF(RetailSales[[#This Row],[Age]]&lt;30,"Young Adult",IF(RetailSales[[#This Row],[Age]]&lt;50,"Adult","Senior"))</f>
        <v>Senior</v>
      </c>
      <c r="L703" t="str">
        <f>_xlfn.CONCAT(I703,"_",RetailSales[[#This Row],[Product Category]])</f>
        <v>600_Clothing</v>
      </c>
    </row>
    <row r="704" spans="1:12">
      <c r="A704">
        <v>703</v>
      </c>
      <c r="B704">
        <v>45011</v>
      </c>
      <c r="C704" t="s">
        <v>731</v>
      </c>
      <c r="D704" t="s">
        <v>13</v>
      </c>
      <c r="E704">
        <v>34</v>
      </c>
      <c r="F704" t="s">
        <v>20</v>
      </c>
      <c r="G704">
        <v>2</v>
      </c>
      <c r="H704">
        <v>50</v>
      </c>
      <c r="I704">
        <f t="shared" si="20"/>
        <v>100</v>
      </c>
      <c r="J704" s="4">
        <f t="shared" si="21"/>
        <v>1.5</v>
      </c>
      <c r="K704" t="str">
        <f>IF(RetailSales[[#This Row],[Age]]&lt;30,"Young Adult",IF(RetailSales[[#This Row],[Age]]&lt;50,"Adult","Senior"))</f>
        <v>Adult</v>
      </c>
      <c r="L704" t="str">
        <f>_xlfn.CONCAT(I704,"_",RetailSales[[#This Row],[Product Category]])</f>
        <v>100_Electronics</v>
      </c>
    </row>
    <row r="705" spans="1:12">
      <c r="A705">
        <v>704</v>
      </c>
      <c r="B705">
        <v>45166</v>
      </c>
      <c r="C705" t="s">
        <v>732</v>
      </c>
      <c r="D705" t="s">
        <v>17</v>
      </c>
      <c r="E705">
        <v>62</v>
      </c>
      <c r="F705" t="s">
        <v>18</v>
      </c>
      <c r="G705">
        <v>3</v>
      </c>
      <c r="H705">
        <v>30</v>
      </c>
      <c r="I705">
        <f t="shared" si="20"/>
        <v>90</v>
      </c>
      <c r="J705" s="4">
        <f t="shared" si="21"/>
        <v>1.3499999999999999</v>
      </c>
      <c r="K705" t="str">
        <f>IF(RetailSales[[#This Row],[Age]]&lt;30,"Young Adult",IF(RetailSales[[#This Row],[Age]]&lt;50,"Adult","Senior"))</f>
        <v>Senior</v>
      </c>
      <c r="L705" t="str">
        <f>_xlfn.CONCAT(I705,"_",RetailSales[[#This Row],[Product Category]])</f>
        <v>90_Clothing</v>
      </c>
    </row>
    <row r="706" spans="1:12">
      <c r="A706">
        <v>705</v>
      </c>
      <c r="B706">
        <v>44992</v>
      </c>
      <c r="C706" t="s">
        <v>733</v>
      </c>
      <c r="D706" t="s">
        <v>13</v>
      </c>
      <c r="E706">
        <v>60</v>
      </c>
      <c r="F706" t="s">
        <v>20</v>
      </c>
      <c r="G706">
        <v>2</v>
      </c>
      <c r="H706">
        <v>25</v>
      </c>
      <c r="I706">
        <f t="shared" si="20"/>
        <v>50</v>
      </c>
      <c r="J706" s="4">
        <f t="shared" si="21"/>
        <v>0.75</v>
      </c>
      <c r="K706" t="str">
        <f>IF(RetailSales[[#This Row],[Age]]&lt;30,"Young Adult",IF(RetailSales[[#This Row],[Age]]&lt;50,"Adult","Senior"))</f>
        <v>Senior</v>
      </c>
      <c r="L706" t="str">
        <f>_xlfn.CONCAT(I706,"_",RetailSales[[#This Row],[Product Category]])</f>
        <v>50_Electronics</v>
      </c>
    </row>
    <row r="707" spans="1:12">
      <c r="A707">
        <v>706</v>
      </c>
      <c r="B707">
        <v>45245</v>
      </c>
      <c r="C707" t="s">
        <v>734</v>
      </c>
      <c r="D707" t="s">
        <v>13</v>
      </c>
      <c r="E707">
        <v>51</v>
      </c>
      <c r="F707" t="s">
        <v>20</v>
      </c>
      <c r="G707">
        <v>4</v>
      </c>
      <c r="H707">
        <v>25</v>
      </c>
      <c r="I707">
        <f t="shared" ref="I707:I770" si="22">G707*H707</f>
        <v>100</v>
      </c>
      <c r="J707" s="4">
        <f t="shared" ref="J707:J770" si="23">I707*$O$3</f>
        <v>1.5</v>
      </c>
      <c r="K707" t="str">
        <f>IF(RetailSales[[#This Row],[Age]]&lt;30,"Young Adult",IF(RetailSales[[#This Row],[Age]]&lt;50,"Adult","Senior"))</f>
        <v>Senior</v>
      </c>
      <c r="L707" t="str">
        <f>_xlfn.CONCAT(I707,"_",RetailSales[[#This Row],[Product Category]])</f>
        <v>100_Electronics</v>
      </c>
    </row>
    <row r="708" spans="1:12">
      <c r="A708">
        <v>707</v>
      </c>
      <c r="B708">
        <v>45200</v>
      </c>
      <c r="C708" t="s">
        <v>735</v>
      </c>
      <c r="D708" t="s">
        <v>17</v>
      </c>
      <c r="E708">
        <v>26</v>
      </c>
      <c r="F708" t="s">
        <v>18</v>
      </c>
      <c r="G708">
        <v>1</v>
      </c>
      <c r="H708">
        <v>500</v>
      </c>
      <c r="I708">
        <f t="shared" si="22"/>
        <v>500</v>
      </c>
      <c r="J708" s="4">
        <f t="shared" si="23"/>
        <v>7.5</v>
      </c>
      <c r="K708" t="str">
        <f>IF(RetailSales[[#This Row],[Age]]&lt;30,"Young Adult",IF(RetailSales[[#This Row],[Age]]&lt;50,"Adult","Senior"))</f>
        <v>Young Adult</v>
      </c>
      <c r="L708" t="str">
        <f>_xlfn.CONCAT(I708,"_",RetailSales[[#This Row],[Product Category]])</f>
        <v>500_Clothing</v>
      </c>
    </row>
    <row r="709" spans="1:12">
      <c r="A709">
        <v>708</v>
      </c>
      <c r="B709">
        <v>44940</v>
      </c>
      <c r="C709" t="s">
        <v>736</v>
      </c>
      <c r="D709" t="s">
        <v>17</v>
      </c>
      <c r="E709">
        <v>43</v>
      </c>
      <c r="F709" t="s">
        <v>14</v>
      </c>
      <c r="G709">
        <v>3</v>
      </c>
      <c r="H709">
        <v>300</v>
      </c>
      <c r="I709">
        <f t="shared" si="22"/>
        <v>900</v>
      </c>
      <c r="J709" s="4">
        <f t="shared" si="23"/>
        <v>13.5</v>
      </c>
      <c r="K709" t="str">
        <f>IF(RetailSales[[#This Row],[Age]]&lt;30,"Young Adult",IF(RetailSales[[#This Row],[Age]]&lt;50,"Adult","Senior"))</f>
        <v>Adult</v>
      </c>
      <c r="L709" t="str">
        <f>_xlfn.CONCAT(I709,"_",RetailSales[[#This Row],[Product Category]])</f>
        <v>900_Beauty</v>
      </c>
    </row>
    <row r="710" spans="1:12">
      <c r="A710">
        <v>709</v>
      </c>
      <c r="B710">
        <v>45128</v>
      </c>
      <c r="C710" t="s">
        <v>737</v>
      </c>
      <c r="D710" t="s">
        <v>17</v>
      </c>
      <c r="E710">
        <v>19</v>
      </c>
      <c r="F710" t="s">
        <v>20</v>
      </c>
      <c r="G710">
        <v>2</v>
      </c>
      <c r="H710">
        <v>500</v>
      </c>
      <c r="I710">
        <f t="shared" si="22"/>
        <v>1000</v>
      </c>
      <c r="J710" s="4">
        <f t="shared" si="23"/>
        <v>15</v>
      </c>
      <c r="K710" t="str">
        <f>IF(RetailSales[[#This Row],[Age]]&lt;30,"Young Adult",IF(RetailSales[[#This Row],[Age]]&lt;50,"Adult","Senior"))</f>
        <v>Young Adult</v>
      </c>
      <c r="L710" t="str">
        <f>_xlfn.CONCAT(I710,"_",RetailSales[[#This Row],[Product Category]])</f>
        <v>1000_Electronics</v>
      </c>
    </row>
    <row r="711" spans="1:12">
      <c r="A711">
        <v>710</v>
      </c>
      <c r="B711">
        <v>45230</v>
      </c>
      <c r="C711" t="s">
        <v>738</v>
      </c>
      <c r="D711" t="s">
        <v>17</v>
      </c>
      <c r="E711">
        <v>26</v>
      </c>
      <c r="F711" t="s">
        <v>20</v>
      </c>
      <c r="G711">
        <v>3</v>
      </c>
      <c r="H711">
        <v>500</v>
      </c>
      <c r="I711">
        <f t="shared" si="22"/>
        <v>1500</v>
      </c>
      <c r="J711" s="4">
        <f t="shared" si="23"/>
        <v>22.5</v>
      </c>
      <c r="K711" t="str">
        <f>IF(RetailSales[[#This Row],[Age]]&lt;30,"Young Adult",IF(RetailSales[[#This Row],[Age]]&lt;50,"Adult","Senior"))</f>
        <v>Young Adult</v>
      </c>
      <c r="L711" t="str">
        <f>_xlfn.CONCAT(I711,"_",RetailSales[[#This Row],[Product Category]])</f>
        <v>1500_Electronics</v>
      </c>
    </row>
    <row r="712" spans="1:12">
      <c r="A712">
        <v>711</v>
      </c>
      <c r="B712">
        <v>45215</v>
      </c>
      <c r="C712" t="s">
        <v>739</v>
      </c>
      <c r="D712" t="s">
        <v>13</v>
      </c>
      <c r="E712">
        <v>26</v>
      </c>
      <c r="F712" t="s">
        <v>20</v>
      </c>
      <c r="G712">
        <v>3</v>
      </c>
      <c r="H712">
        <v>500</v>
      </c>
      <c r="I712">
        <f t="shared" si="22"/>
        <v>1500</v>
      </c>
      <c r="J712" s="4">
        <f t="shared" si="23"/>
        <v>22.5</v>
      </c>
      <c r="K712" t="str">
        <f>IF(RetailSales[[#This Row],[Age]]&lt;30,"Young Adult",IF(RetailSales[[#This Row],[Age]]&lt;50,"Adult","Senior"))</f>
        <v>Young Adult</v>
      </c>
      <c r="L712" t="str">
        <f>_xlfn.CONCAT(I712,"_",RetailSales[[#This Row],[Product Category]])</f>
        <v>1500_Electronics</v>
      </c>
    </row>
    <row r="713" spans="1:12">
      <c r="A713">
        <v>712</v>
      </c>
      <c r="B713">
        <v>45266</v>
      </c>
      <c r="C713" t="s">
        <v>740</v>
      </c>
      <c r="D713" t="s">
        <v>17</v>
      </c>
      <c r="E713">
        <v>57</v>
      </c>
      <c r="F713" t="s">
        <v>14</v>
      </c>
      <c r="G713">
        <v>2</v>
      </c>
      <c r="H713">
        <v>25</v>
      </c>
      <c r="I713">
        <f t="shared" si="22"/>
        <v>50</v>
      </c>
      <c r="J713" s="4">
        <f t="shared" si="23"/>
        <v>0.75</v>
      </c>
      <c r="K713" t="str">
        <f>IF(RetailSales[[#This Row],[Age]]&lt;30,"Young Adult",IF(RetailSales[[#This Row],[Age]]&lt;50,"Adult","Senior"))</f>
        <v>Senior</v>
      </c>
      <c r="L713" t="str">
        <f>_xlfn.CONCAT(I713,"_",RetailSales[[#This Row],[Product Category]])</f>
        <v>50_Beauty</v>
      </c>
    </row>
    <row r="714" spans="1:12">
      <c r="A714">
        <v>713</v>
      </c>
      <c r="B714">
        <v>44940</v>
      </c>
      <c r="C714" t="s">
        <v>741</v>
      </c>
      <c r="D714" t="s">
        <v>13</v>
      </c>
      <c r="E714">
        <v>34</v>
      </c>
      <c r="F714" t="s">
        <v>14</v>
      </c>
      <c r="G714">
        <v>3</v>
      </c>
      <c r="H714">
        <v>25</v>
      </c>
      <c r="I714">
        <f t="shared" si="22"/>
        <v>75</v>
      </c>
      <c r="J714" s="4">
        <f t="shared" si="23"/>
        <v>1.125</v>
      </c>
      <c r="K714" t="str">
        <f>IF(RetailSales[[#This Row],[Age]]&lt;30,"Young Adult",IF(RetailSales[[#This Row],[Age]]&lt;50,"Adult","Senior"))</f>
        <v>Adult</v>
      </c>
      <c r="L714" t="str">
        <f>_xlfn.CONCAT(I714,"_",RetailSales[[#This Row],[Product Category]])</f>
        <v>75_Beauty</v>
      </c>
    </row>
    <row r="715" spans="1:12">
      <c r="A715">
        <v>714</v>
      </c>
      <c r="B715">
        <v>44969</v>
      </c>
      <c r="C715" t="s">
        <v>742</v>
      </c>
      <c r="D715" t="s">
        <v>17</v>
      </c>
      <c r="E715">
        <v>18</v>
      </c>
      <c r="F715" t="s">
        <v>18</v>
      </c>
      <c r="G715">
        <v>1</v>
      </c>
      <c r="H715">
        <v>500</v>
      </c>
      <c r="I715">
        <f t="shared" si="22"/>
        <v>500</v>
      </c>
      <c r="J715" s="4">
        <f t="shared" si="23"/>
        <v>7.5</v>
      </c>
      <c r="K715" t="str">
        <f>IF(RetailSales[[#This Row],[Age]]&lt;30,"Young Adult",IF(RetailSales[[#This Row],[Age]]&lt;50,"Adult","Senior"))</f>
        <v>Young Adult</v>
      </c>
      <c r="L715" t="str">
        <f>_xlfn.CONCAT(I715,"_",RetailSales[[#This Row],[Product Category]])</f>
        <v>500_Clothing</v>
      </c>
    </row>
    <row r="716" spans="1:12">
      <c r="A716">
        <v>715</v>
      </c>
      <c r="B716">
        <v>45256</v>
      </c>
      <c r="C716" t="s">
        <v>743</v>
      </c>
      <c r="D716" t="s">
        <v>17</v>
      </c>
      <c r="E716">
        <v>42</v>
      </c>
      <c r="F716" t="s">
        <v>14</v>
      </c>
      <c r="G716">
        <v>4</v>
      </c>
      <c r="H716">
        <v>25</v>
      </c>
      <c r="I716">
        <f t="shared" si="22"/>
        <v>100</v>
      </c>
      <c r="J716" s="4">
        <f t="shared" si="23"/>
        <v>1.5</v>
      </c>
      <c r="K716" t="str">
        <f>IF(RetailSales[[#This Row],[Age]]&lt;30,"Young Adult",IF(RetailSales[[#This Row],[Age]]&lt;50,"Adult","Senior"))</f>
        <v>Adult</v>
      </c>
      <c r="L716" t="str">
        <f>_xlfn.CONCAT(I716,"_",RetailSales[[#This Row],[Product Category]])</f>
        <v>100_Beauty</v>
      </c>
    </row>
    <row r="717" spans="1:12">
      <c r="A717">
        <v>716</v>
      </c>
      <c r="B717">
        <v>45146</v>
      </c>
      <c r="C717" t="s">
        <v>744</v>
      </c>
      <c r="D717" t="s">
        <v>17</v>
      </c>
      <c r="E717">
        <v>60</v>
      </c>
      <c r="F717" t="s">
        <v>18</v>
      </c>
      <c r="G717">
        <v>4</v>
      </c>
      <c r="H717">
        <v>300</v>
      </c>
      <c r="I717">
        <f t="shared" si="22"/>
        <v>1200</v>
      </c>
      <c r="J717" s="4">
        <f t="shared" si="23"/>
        <v>18</v>
      </c>
      <c r="K717" t="str">
        <f>IF(RetailSales[[#This Row],[Age]]&lt;30,"Young Adult",IF(RetailSales[[#This Row],[Age]]&lt;50,"Adult","Senior"))</f>
        <v>Senior</v>
      </c>
      <c r="L717" t="str">
        <f>_xlfn.CONCAT(I717,"_",RetailSales[[#This Row],[Product Category]])</f>
        <v>1200_Clothing</v>
      </c>
    </row>
    <row r="718" spans="1:12">
      <c r="A718">
        <v>717</v>
      </c>
      <c r="B718">
        <v>44996</v>
      </c>
      <c r="C718" t="s">
        <v>745</v>
      </c>
      <c r="D718" t="s">
        <v>13</v>
      </c>
      <c r="E718">
        <v>57</v>
      </c>
      <c r="F718" t="s">
        <v>18</v>
      </c>
      <c r="G718">
        <v>1</v>
      </c>
      <c r="H718">
        <v>500</v>
      </c>
      <c r="I718">
        <f t="shared" si="22"/>
        <v>500</v>
      </c>
      <c r="J718" s="4">
        <f t="shared" si="23"/>
        <v>7.5</v>
      </c>
      <c r="K718" t="str">
        <f>IF(RetailSales[[#This Row],[Age]]&lt;30,"Young Adult",IF(RetailSales[[#This Row],[Age]]&lt;50,"Adult","Senior"))</f>
        <v>Senior</v>
      </c>
      <c r="L718" t="str">
        <f>_xlfn.CONCAT(I718,"_",RetailSales[[#This Row],[Product Category]])</f>
        <v>500_Clothing</v>
      </c>
    </row>
    <row r="719" spans="1:12">
      <c r="A719">
        <v>718</v>
      </c>
      <c r="B719">
        <v>45163</v>
      </c>
      <c r="C719" t="s">
        <v>746</v>
      </c>
      <c r="D719" t="s">
        <v>17</v>
      </c>
      <c r="E719">
        <v>59</v>
      </c>
      <c r="F719" t="s">
        <v>14</v>
      </c>
      <c r="G719">
        <v>3</v>
      </c>
      <c r="H719">
        <v>25</v>
      </c>
      <c r="I719">
        <f t="shared" si="22"/>
        <v>75</v>
      </c>
      <c r="J719" s="4">
        <f t="shared" si="23"/>
        <v>1.125</v>
      </c>
      <c r="K719" t="str">
        <f>IF(RetailSales[[#This Row],[Age]]&lt;30,"Young Adult",IF(RetailSales[[#This Row],[Age]]&lt;50,"Adult","Senior"))</f>
        <v>Senior</v>
      </c>
      <c r="L719" t="str">
        <f>_xlfn.CONCAT(I719,"_",RetailSales[[#This Row],[Product Category]])</f>
        <v>75_Beauty</v>
      </c>
    </row>
    <row r="720" spans="1:12">
      <c r="A720">
        <v>719</v>
      </c>
      <c r="B720">
        <v>45020</v>
      </c>
      <c r="C720" t="s">
        <v>747</v>
      </c>
      <c r="D720" t="s">
        <v>17</v>
      </c>
      <c r="E720">
        <v>42</v>
      </c>
      <c r="F720" t="s">
        <v>18</v>
      </c>
      <c r="G720">
        <v>2</v>
      </c>
      <c r="H720">
        <v>30</v>
      </c>
      <c r="I720">
        <f t="shared" si="22"/>
        <v>60</v>
      </c>
      <c r="J720" s="4">
        <f t="shared" si="23"/>
        <v>0.89999999999999991</v>
      </c>
      <c r="K720" t="str">
        <f>IF(RetailSales[[#This Row],[Age]]&lt;30,"Young Adult",IF(RetailSales[[#This Row],[Age]]&lt;50,"Adult","Senior"))</f>
        <v>Adult</v>
      </c>
      <c r="L720" t="str">
        <f>_xlfn.CONCAT(I720,"_",RetailSales[[#This Row],[Product Category]])</f>
        <v>60_Clothing</v>
      </c>
    </row>
    <row r="721" spans="1:12">
      <c r="A721">
        <v>720</v>
      </c>
      <c r="B721">
        <v>44952</v>
      </c>
      <c r="C721" t="s">
        <v>748</v>
      </c>
      <c r="D721" t="s">
        <v>17</v>
      </c>
      <c r="E721">
        <v>56</v>
      </c>
      <c r="F721" t="s">
        <v>14</v>
      </c>
      <c r="G721">
        <v>3</v>
      </c>
      <c r="H721">
        <v>500</v>
      </c>
      <c r="I721">
        <f t="shared" si="22"/>
        <v>1500</v>
      </c>
      <c r="J721" s="4">
        <f t="shared" si="23"/>
        <v>22.5</v>
      </c>
      <c r="K721" t="str">
        <f>IF(RetailSales[[#This Row],[Age]]&lt;30,"Young Adult",IF(RetailSales[[#This Row],[Age]]&lt;50,"Adult","Senior"))</f>
        <v>Senior</v>
      </c>
      <c r="L721" t="str">
        <f>_xlfn.CONCAT(I721,"_",RetailSales[[#This Row],[Product Category]])</f>
        <v>1500_Beauty</v>
      </c>
    </row>
    <row r="722" spans="1:12">
      <c r="A722">
        <v>721</v>
      </c>
      <c r="B722">
        <v>45060</v>
      </c>
      <c r="C722" t="s">
        <v>749</v>
      </c>
      <c r="D722" t="s">
        <v>17</v>
      </c>
      <c r="E722">
        <v>52</v>
      </c>
      <c r="F722" t="s">
        <v>18</v>
      </c>
      <c r="G722">
        <v>1</v>
      </c>
      <c r="H722">
        <v>500</v>
      </c>
      <c r="I722">
        <f t="shared" si="22"/>
        <v>500</v>
      </c>
      <c r="J722" s="4">
        <f t="shared" si="23"/>
        <v>7.5</v>
      </c>
      <c r="K722" t="str">
        <f>IF(RetailSales[[#This Row],[Age]]&lt;30,"Young Adult",IF(RetailSales[[#This Row],[Age]]&lt;50,"Adult","Senior"))</f>
        <v>Senior</v>
      </c>
      <c r="L722" t="str">
        <f>_xlfn.CONCAT(I722,"_",RetailSales[[#This Row],[Product Category]])</f>
        <v>500_Clothing</v>
      </c>
    </row>
    <row r="723" spans="1:12">
      <c r="A723">
        <v>722</v>
      </c>
      <c r="B723">
        <v>45121</v>
      </c>
      <c r="C723" t="s">
        <v>750</v>
      </c>
      <c r="D723" t="s">
        <v>13</v>
      </c>
      <c r="E723">
        <v>20</v>
      </c>
      <c r="F723" t="s">
        <v>14</v>
      </c>
      <c r="G723">
        <v>3</v>
      </c>
      <c r="H723">
        <v>300</v>
      </c>
      <c r="I723">
        <f t="shared" si="22"/>
        <v>900</v>
      </c>
      <c r="J723" s="4">
        <f t="shared" si="23"/>
        <v>13.5</v>
      </c>
      <c r="K723" t="str">
        <f>IF(RetailSales[[#This Row],[Age]]&lt;30,"Young Adult",IF(RetailSales[[#This Row],[Age]]&lt;50,"Adult","Senior"))</f>
        <v>Young Adult</v>
      </c>
      <c r="L723" t="str">
        <f>_xlfn.CONCAT(I723,"_",RetailSales[[#This Row],[Product Category]])</f>
        <v>900_Beauty</v>
      </c>
    </row>
    <row r="724" spans="1:12">
      <c r="A724">
        <v>723</v>
      </c>
      <c r="B724">
        <v>45094</v>
      </c>
      <c r="C724" t="s">
        <v>751</v>
      </c>
      <c r="D724" t="s">
        <v>17</v>
      </c>
      <c r="E724">
        <v>54</v>
      </c>
      <c r="F724" t="s">
        <v>14</v>
      </c>
      <c r="G724">
        <v>4</v>
      </c>
      <c r="H724">
        <v>50</v>
      </c>
      <c r="I724">
        <f t="shared" si="22"/>
        <v>200</v>
      </c>
      <c r="J724" s="4">
        <f t="shared" si="23"/>
        <v>3</v>
      </c>
      <c r="K724" t="str">
        <f>IF(RetailSales[[#This Row],[Age]]&lt;30,"Young Adult",IF(RetailSales[[#This Row],[Age]]&lt;50,"Adult","Senior"))</f>
        <v>Senior</v>
      </c>
      <c r="L724" t="str">
        <f>_xlfn.CONCAT(I724,"_",RetailSales[[#This Row],[Product Category]])</f>
        <v>200_Beauty</v>
      </c>
    </row>
    <row r="725" spans="1:12">
      <c r="A725">
        <v>724</v>
      </c>
      <c r="B725">
        <v>45035</v>
      </c>
      <c r="C725" t="s">
        <v>752</v>
      </c>
      <c r="D725" t="s">
        <v>13</v>
      </c>
      <c r="E725">
        <v>61</v>
      </c>
      <c r="F725" t="s">
        <v>18</v>
      </c>
      <c r="G725">
        <v>3</v>
      </c>
      <c r="H725">
        <v>50</v>
      </c>
      <c r="I725">
        <f t="shared" si="22"/>
        <v>150</v>
      </c>
      <c r="J725" s="4">
        <f t="shared" si="23"/>
        <v>2.25</v>
      </c>
      <c r="K725" t="str">
        <f>IF(RetailSales[[#This Row],[Age]]&lt;30,"Young Adult",IF(RetailSales[[#This Row],[Age]]&lt;50,"Adult","Senior"))</f>
        <v>Senior</v>
      </c>
      <c r="L725" t="str">
        <f>_xlfn.CONCAT(I725,"_",RetailSales[[#This Row],[Product Category]])</f>
        <v>150_Clothing</v>
      </c>
    </row>
    <row r="726" spans="1:12">
      <c r="A726">
        <v>725</v>
      </c>
      <c r="B726">
        <v>45159</v>
      </c>
      <c r="C726" t="s">
        <v>753</v>
      </c>
      <c r="D726" t="s">
        <v>13</v>
      </c>
      <c r="E726">
        <v>61</v>
      </c>
      <c r="F726" t="s">
        <v>20</v>
      </c>
      <c r="G726">
        <v>1</v>
      </c>
      <c r="H726">
        <v>300</v>
      </c>
      <c r="I726">
        <f t="shared" si="22"/>
        <v>300</v>
      </c>
      <c r="J726" s="4">
        <f t="shared" si="23"/>
        <v>4.5</v>
      </c>
      <c r="K726" t="str">
        <f>IF(RetailSales[[#This Row],[Age]]&lt;30,"Young Adult",IF(RetailSales[[#This Row],[Age]]&lt;50,"Adult","Senior"))</f>
        <v>Senior</v>
      </c>
      <c r="L726" t="str">
        <f>_xlfn.CONCAT(I726,"_",RetailSales[[#This Row],[Product Category]])</f>
        <v>300_Electronics</v>
      </c>
    </row>
    <row r="727" spans="1:12">
      <c r="A727">
        <v>726</v>
      </c>
      <c r="B727">
        <v>45094</v>
      </c>
      <c r="C727" t="s">
        <v>754</v>
      </c>
      <c r="D727" t="s">
        <v>13</v>
      </c>
      <c r="E727">
        <v>47</v>
      </c>
      <c r="F727" t="s">
        <v>18</v>
      </c>
      <c r="G727">
        <v>4</v>
      </c>
      <c r="H727">
        <v>300</v>
      </c>
      <c r="I727">
        <f t="shared" si="22"/>
        <v>1200</v>
      </c>
      <c r="J727" s="4">
        <f t="shared" si="23"/>
        <v>18</v>
      </c>
      <c r="K727" t="str">
        <f>IF(RetailSales[[#This Row],[Age]]&lt;30,"Young Adult",IF(RetailSales[[#This Row],[Age]]&lt;50,"Adult","Senior"))</f>
        <v>Adult</v>
      </c>
      <c r="L727" t="str">
        <f>_xlfn.CONCAT(I727,"_",RetailSales[[#This Row],[Product Category]])</f>
        <v>1200_Clothing</v>
      </c>
    </row>
    <row r="728" spans="1:12">
      <c r="A728">
        <v>727</v>
      </c>
      <c r="B728">
        <v>45099</v>
      </c>
      <c r="C728" t="s">
        <v>755</v>
      </c>
      <c r="D728" t="s">
        <v>13</v>
      </c>
      <c r="E728">
        <v>55</v>
      </c>
      <c r="F728" t="s">
        <v>14</v>
      </c>
      <c r="G728">
        <v>3</v>
      </c>
      <c r="H728">
        <v>300</v>
      </c>
      <c r="I728">
        <f t="shared" si="22"/>
        <v>900</v>
      </c>
      <c r="J728" s="4">
        <f t="shared" si="23"/>
        <v>13.5</v>
      </c>
      <c r="K728" t="str">
        <f>IF(RetailSales[[#This Row],[Age]]&lt;30,"Young Adult",IF(RetailSales[[#This Row],[Age]]&lt;50,"Adult","Senior"))</f>
        <v>Senior</v>
      </c>
      <c r="L728" t="str">
        <f>_xlfn.CONCAT(I728,"_",RetailSales[[#This Row],[Product Category]])</f>
        <v>900_Beauty</v>
      </c>
    </row>
    <row r="729" spans="1:12">
      <c r="A729">
        <v>728</v>
      </c>
      <c r="B729">
        <v>45121</v>
      </c>
      <c r="C729" t="s">
        <v>756</v>
      </c>
      <c r="D729" t="s">
        <v>13</v>
      </c>
      <c r="E729">
        <v>51</v>
      </c>
      <c r="F729" t="s">
        <v>20</v>
      </c>
      <c r="G729">
        <v>3</v>
      </c>
      <c r="H729">
        <v>50</v>
      </c>
      <c r="I729">
        <f t="shared" si="22"/>
        <v>150</v>
      </c>
      <c r="J729" s="4">
        <f t="shared" si="23"/>
        <v>2.25</v>
      </c>
      <c r="K729" t="str">
        <f>IF(RetailSales[[#This Row],[Age]]&lt;30,"Young Adult",IF(RetailSales[[#This Row],[Age]]&lt;50,"Adult","Senior"))</f>
        <v>Senior</v>
      </c>
      <c r="L729" t="str">
        <f>_xlfn.CONCAT(I729,"_",RetailSales[[#This Row],[Product Category]])</f>
        <v>150_Electronics</v>
      </c>
    </row>
    <row r="730" spans="1:12">
      <c r="A730">
        <v>729</v>
      </c>
      <c r="B730">
        <v>45069</v>
      </c>
      <c r="C730" t="s">
        <v>757</v>
      </c>
      <c r="D730" t="s">
        <v>13</v>
      </c>
      <c r="E730">
        <v>29</v>
      </c>
      <c r="F730" t="s">
        <v>18</v>
      </c>
      <c r="G730">
        <v>4</v>
      </c>
      <c r="H730">
        <v>300</v>
      </c>
      <c r="I730">
        <f t="shared" si="22"/>
        <v>1200</v>
      </c>
      <c r="J730" s="4">
        <f t="shared" si="23"/>
        <v>18</v>
      </c>
      <c r="K730" t="str">
        <f>IF(RetailSales[[#This Row],[Age]]&lt;30,"Young Adult",IF(RetailSales[[#This Row],[Age]]&lt;50,"Adult","Senior"))</f>
        <v>Young Adult</v>
      </c>
      <c r="L730" t="str">
        <f>_xlfn.CONCAT(I730,"_",RetailSales[[#This Row],[Product Category]])</f>
        <v>1200_Clothing</v>
      </c>
    </row>
    <row r="731" spans="1:12">
      <c r="A731">
        <v>730</v>
      </c>
      <c r="B731">
        <v>45142</v>
      </c>
      <c r="C731" t="s">
        <v>758</v>
      </c>
      <c r="D731" t="s">
        <v>17</v>
      </c>
      <c r="E731">
        <v>36</v>
      </c>
      <c r="F731" t="s">
        <v>18</v>
      </c>
      <c r="G731">
        <v>2</v>
      </c>
      <c r="H731">
        <v>25</v>
      </c>
      <c r="I731">
        <f t="shared" si="22"/>
        <v>50</v>
      </c>
      <c r="J731" s="4">
        <f t="shared" si="23"/>
        <v>0.75</v>
      </c>
      <c r="K731" t="str">
        <f>IF(RetailSales[[#This Row],[Age]]&lt;30,"Young Adult",IF(RetailSales[[#This Row],[Age]]&lt;50,"Adult","Senior"))</f>
        <v>Adult</v>
      </c>
      <c r="L731" t="str">
        <f>_xlfn.CONCAT(I731,"_",RetailSales[[#This Row],[Product Category]])</f>
        <v>50_Clothing</v>
      </c>
    </row>
    <row r="732" spans="1:12">
      <c r="A732">
        <v>731</v>
      </c>
      <c r="B732">
        <v>45056</v>
      </c>
      <c r="C732" t="s">
        <v>759</v>
      </c>
      <c r="D732" t="s">
        <v>13</v>
      </c>
      <c r="E732">
        <v>54</v>
      </c>
      <c r="F732" t="s">
        <v>18</v>
      </c>
      <c r="G732">
        <v>4</v>
      </c>
      <c r="H732">
        <v>500</v>
      </c>
      <c r="I732">
        <f t="shared" si="22"/>
        <v>2000</v>
      </c>
      <c r="J732" s="4">
        <f t="shared" si="23"/>
        <v>30</v>
      </c>
      <c r="K732" t="str">
        <f>IF(RetailSales[[#This Row],[Age]]&lt;30,"Young Adult",IF(RetailSales[[#This Row],[Age]]&lt;50,"Adult","Senior"))</f>
        <v>Senior</v>
      </c>
      <c r="L732" t="str">
        <f>_xlfn.CONCAT(I732,"_",RetailSales[[#This Row],[Product Category]])</f>
        <v>2000_Clothing</v>
      </c>
    </row>
    <row r="733" spans="1:12">
      <c r="A733">
        <v>732</v>
      </c>
      <c r="B733">
        <v>44968</v>
      </c>
      <c r="C733" t="s">
        <v>760</v>
      </c>
      <c r="D733" t="s">
        <v>13</v>
      </c>
      <c r="E733">
        <v>61</v>
      </c>
      <c r="F733" t="s">
        <v>20</v>
      </c>
      <c r="G733">
        <v>2</v>
      </c>
      <c r="H733">
        <v>500</v>
      </c>
      <c r="I733">
        <f t="shared" si="22"/>
        <v>1000</v>
      </c>
      <c r="J733" s="4">
        <f t="shared" si="23"/>
        <v>15</v>
      </c>
      <c r="K733" t="str">
        <f>IF(RetailSales[[#This Row],[Age]]&lt;30,"Young Adult",IF(RetailSales[[#This Row],[Age]]&lt;50,"Adult","Senior"))</f>
        <v>Senior</v>
      </c>
      <c r="L733" t="str">
        <f>_xlfn.CONCAT(I733,"_",RetailSales[[#This Row],[Product Category]])</f>
        <v>1000_Electronics</v>
      </c>
    </row>
    <row r="734" spans="1:12">
      <c r="A734">
        <v>733</v>
      </c>
      <c r="B734">
        <v>45167</v>
      </c>
      <c r="C734" t="s">
        <v>761</v>
      </c>
      <c r="D734" t="s">
        <v>13</v>
      </c>
      <c r="E734">
        <v>34</v>
      </c>
      <c r="F734" t="s">
        <v>14</v>
      </c>
      <c r="G734">
        <v>1</v>
      </c>
      <c r="H734">
        <v>30</v>
      </c>
      <c r="I734">
        <f t="shared" si="22"/>
        <v>30</v>
      </c>
      <c r="J734" s="4">
        <f t="shared" si="23"/>
        <v>0.44999999999999996</v>
      </c>
      <c r="K734" t="str">
        <f>IF(RetailSales[[#This Row],[Age]]&lt;30,"Young Adult",IF(RetailSales[[#This Row],[Age]]&lt;50,"Adult","Senior"))</f>
        <v>Adult</v>
      </c>
      <c r="L734" t="str">
        <f>_xlfn.CONCAT(I734,"_",RetailSales[[#This Row],[Product Category]])</f>
        <v>30_Beauty</v>
      </c>
    </row>
    <row r="735" spans="1:12">
      <c r="A735">
        <v>734</v>
      </c>
      <c r="B735">
        <v>44936</v>
      </c>
      <c r="C735" t="s">
        <v>762</v>
      </c>
      <c r="D735" t="s">
        <v>17</v>
      </c>
      <c r="E735">
        <v>27</v>
      </c>
      <c r="F735" t="s">
        <v>18</v>
      </c>
      <c r="G735">
        <v>1</v>
      </c>
      <c r="H735">
        <v>30</v>
      </c>
      <c r="I735">
        <f t="shared" si="22"/>
        <v>30</v>
      </c>
      <c r="J735" s="4">
        <f t="shared" si="23"/>
        <v>0.44999999999999996</v>
      </c>
      <c r="K735" t="str">
        <f>IF(RetailSales[[#This Row],[Age]]&lt;30,"Young Adult",IF(RetailSales[[#This Row],[Age]]&lt;50,"Adult","Senior"))</f>
        <v>Young Adult</v>
      </c>
      <c r="L735" t="str">
        <f>_xlfn.CONCAT(I735,"_",RetailSales[[#This Row],[Product Category]])</f>
        <v>30_Clothing</v>
      </c>
    </row>
    <row r="736" spans="1:12">
      <c r="A736">
        <v>735</v>
      </c>
      <c r="B736">
        <v>45203</v>
      </c>
      <c r="C736" t="s">
        <v>763</v>
      </c>
      <c r="D736" t="s">
        <v>17</v>
      </c>
      <c r="E736">
        <v>64</v>
      </c>
      <c r="F736" t="s">
        <v>18</v>
      </c>
      <c r="G736">
        <v>4</v>
      </c>
      <c r="H736">
        <v>500</v>
      </c>
      <c r="I736">
        <f t="shared" si="22"/>
        <v>2000</v>
      </c>
      <c r="J736" s="4">
        <f t="shared" si="23"/>
        <v>30</v>
      </c>
      <c r="K736" t="str">
        <f>IF(RetailSales[[#This Row],[Age]]&lt;30,"Young Adult",IF(RetailSales[[#This Row],[Age]]&lt;50,"Adult","Senior"))</f>
        <v>Senior</v>
      </c>
      <c r="L736" t="str">
        <f>_xlfn.CONCAT(I736,"_",RetailSales[[#This Row],[Product Category]])</f>
        <v>2000_Clothing</v>
      </c>
    </row>
    <row r="737" spans="1:12">
      <c r="A737">
        <v>736</v>
      </c>
      <c r="B737">
        <v>44953</v>
      </c>
      <c r="C737" t="s">
        <v>764</v>
      </c>
      <c r="D737" t="s">
        <v>13</v>
      </c>
      <c r="E737">
        <v>29</v>
      </c>
      <c r="F737" t="s">
        <v>18</v>
      </c>
      <c r="G737">
        <v>4</v>
      </c>
      <c r="H737">
        <v>25</v>
      </c>
      <c r="I737">
        <f t="shared" si="22"/>
        <v>100</v>
      </c>
      <c r="J737" s="4">
        <f t="shared" si="23"/>
        <v>1.5</v>
      </c>
      <c r="K737" t="str">
        <f>IF(RetailSales[[#This Row],[Age]]&lt;30,"Young Adult",IF(RetailSales[[#This Row],[Age]]&lt;50,"Adult","Senior"))</f>
        <v>Young Adult</v>
      </c>
      <c r="L737" t="str">
        <f>_xlfn.CONCAT(I737,"_",RetailSales[[#This Row],[Product Category]])</f>
        <v>100_Clothing</v>
      </c>
    </row>
    <row r="738" spans="1:12">
      <c r="A738">
        <v>737</v>
      </c>
      <c r="B738">
        <v>45106</v>
      </c>
      <c r="C738" t="s">
        <v>765</v>
      </c>
      <c r="D738" t="s">
        <v>17</v>
      </c>
      <c r="E738">
        <v>33</v>
      </c>
      <c r="F738" t="s">
        <v>18</v>
      </c>
      <c r="G738">
        <v>1</v>
      </c>
      <c r="H738">
        <v>50</v>
      </c>
      <c r="I738">
        <f t="shared" si="22"/>
        <v>50</v>
      </c>
      <c r="J738" s="4">
        <f t="shared" si="23"/>
        <v>0.75</v>
      </c>
      <c r="K738" t="str">
        <f>IF(RetailSales[[#This Row],[Age]]&lt;30,"Young Adult",IF(RetailSales[[#This Row],[Age]]&lt;50,"Adult","Senior"))</f>
        <v>Adult</v>
      </c>
      <c r="L738" t="str">
        <f>_xlfn.CONCAT(I738,"_",RetailSales[[#This Row],[Product Category]])</f>
        <v>50_Clothing</v>
      </c>
    </row>
    <row r="739" spans="1:12">
      <c r="A739">
        <v>738</v>
      </c>
      <c r="B739">
        <v>45041</v>
      </c>
      <c r="C739" t="s">
        <v>766</v>
      </c>
      <c r="D739" t="s">
        <v>13</v>
      </c>
      <c r="E739">
        <v>41</v>
      </c>
      <c r="F739" t="s">
        <v>18</v>
      </c>
      <c r="G739">
        <v>2</v>
      </c>
      <c r="H739">
        <v>50</v>
      </c>
      <c r="I739">
        <f t="shared" si="22"/>
        <v>100</v>
      </c>
      <c r="J739" s="4">
        <f t="shared" si="23"/>
        <v>1.5</v>
      </c>
      <c r="K739" t="str">
        <f>IF(RetailSales[[#This Row],[Age]]&lt;30,"Young Adult",IF(RetailSales[[#This Row],[Age]]&lt;50,"Adult","Senior"))</f>
        <v>Adult</v>
      </c>
      <c r="L739" t="str">
        <f>_xlfn.CONCAT(I739,"_",RetailSales[[#This Row],[Product Category]])</f>
        <v>100_Clothing</v>
      </c>
    </row>
    <row r="740" spans="1:12">
      <c r="A740">
        <v>739</v>
      </c>
      <c r="B740">
        <v>45259</v>
      </c>
      <c r="C740" t="s">
        <v>767</v>
      </c>
      <c r="D740" t="s">
        <v>13</v>
      </c>
      <c r="E740">
        <v>36</v>
      </c>
      <c r="F740" t="s">
        <v>14</v>
      </c>
      <c r="G740">
        <v>1</v>
      </c>
      <c r="H740">
        <v>25</v>
      </c>
      <c r="I740">
        <f t="shared" si="22"/>
        <v>25</v>
      </c>
      <c r="J740" s="4">
        <f t="shared" si="23"/>
        <v>0.375</v>
      </c>
      <c r="K740" t="str">
        <f>IF(RetailSales[[#This Row],[Age]]&lt;30,"Young Adult",IF(RetailSales[[#This Row],[Age]]&lt;50,"Adult","Senior"))</f>
        <v>Adult</v>
      </c>
      <c r="L740" t="str">
        <f>_xlfn.CONCAT(I740,"_",RetailSales[[#This Row],[Product Category]])</f>
        <v>25_Beauty</v>
      </c>
    </row>
    <row r="741" spans="1:12">
      <c r="A741">
        <v>740</v>
      </c>
      <c r="B741">
        <v>44962</v>
      </c>
      <c r="C741" t="s">
        <v>768</v>
      </c>
      <c r="D741" t="s">
        <v>17</v>
      </c>
      <c r="E741">
        <v>25</v>
      </c>
      <c r="F741" t="s">
        <v>14</v>
      </c>
      <c r="G741">
        <v>4</v>
      </c>
      <c r="H741">
        <v>50</v>
      </c>
      <c r="I741">
        <f t="shared" si="22"/>
        <v>200</v>
      </c>
      <c r="J741" s="4">
        <f t="shared" si="23"/>
        <v>3</v>
      </c>
      <c r="K741" t="str">
        <f>IF(RetailSales[[#This Row],[Age]]&lt;30,"Young Adult",IF(RetailSales[[#This Row],[Age]]&lt;50,"Adult","Senior"))</f>
        <v>Young Adult</v>
      </c>
      <c r="L741" t="str">
        <f>_xlfn.CONCAT(I741,"_",RetailSales[[#This Row],[Product Category]])</f>
        <v>200_Beauty</v>
      </c>
    </row>
    <row r="742" spans="1:12">
      <c r="A742">
        <v>741</v>
      </c>
      <c r="B742">
        <v>45260</v>
      </c>
      <c r="C742" t="s">
        <v>769</v>
      </c>
      <c r="D742" t="s">
        <v>13</v>
      </c>
      <c r="E742">
        <v>48</v>
      </c>
      <c r="F742" t="s">
        <v>18</v>
      </c>
      <c r="G742">
        <v>1</v>
      </c>
      <c r="H742">
        <v>300</v>
      </c>
      <c r="I742">
        <f t="shared" si="22"/>
        <v>300</v>
      </c>
      <c r="J742" s="4">
        <f t="shared" si="23"/>
        <v>4.5</v>
      </c>
      <c r="K742" t="str">
        <f>IF(RetailSales[[#This Row],[Age]]&lt;30,"Young Adult",IF(RetailSales[[#This Row],[Age]]&lt;50,"Adult","Senior"))</f>
        <v>Adult</v>
      </c>
      <c r="L742" t="str">
        <f>_xlfn.CONCAT(I742,"_",RetailSales[[#This Row],[Product Category]])</f>
        <v>300_Clothing</v>
      </c>
    </row>
    <row r="743" spans="1:12">
      <c r="A743">
        <v>742</v>
      </c>
      <c r="B743">
        <v>44947</v>
      </c>
      <c r="C743" t="s">
        <v>770</v>
      </c>
      <c r="D743" t="s">
        <v>17</v>
      </c>
      <c r="E743">
        <v>38</v>
      </c>
      <c r="F743" t="s">
        <v>20</v>
      </c>
      <c r="G743">
        <v>4</v>
      </c>
      <c r="H743">
        <v>500</v>
      </c>
      <c r="I743">
        <f t="shared" si="22"/>
        <v>2000</v>
      </c>
      <c r="J743" s="4">
        <f t="shared" si="23"/>
        <v>30</v>
      </c>
      <c r="K743" t="str">
        <f>IF(RetailSales[[#This Row],[Age]]&lt;30,"Young Adult",IF(RetailSales[[#This Row],[Age]]&lt;50,"Adult","Senior"))</f>
        <v>Adult</v>
      </c>
      <c r="L743" t="str">
        <f>_xlfn.CONCAT(I743,"_",RetailSales[[#This Row],[Product Category]])</f>
        <v>2000_Electronics</v>
      </c>
    </row>
    <row r="744" spans="1:12">
      <c r="A744">
        <v>743</v>
      </c>
      <c r="B744">
        <v>44942</v>
      </c>
      <c r="C744" t="s">
        <v>771</v>
      </c>
      <c r="D744" t="s">
        <v>17</v>
      </c>
      <c r="E744">
        <v>34</v>
      </c>
      <c r="F744" t="s">
        <v>14</v>
      </c>
      <c r="G744">
        <v>4</v>
      </c>
      <c r="H744">
        <v>500</v>
      </c>
      <c r="I744">
        <f t="shared" si="22"/>
        <v>2000</v>
      </c>
      <c r="J744" s="4">
        <f t="shared" si="23"/>
        <v>30</v>
      </c>
      <c r="K744" t="str">
        <f>IF(RetailSales[[#This Row],[Age]]&lt;30,"Young Adult",IF(RetailSales[[#This Row],[Age]]&lt;50,"Adult","Senior"))</f>
        <v>Adult</v>
      </c>
      <c r="L744" t="str">
        <f>_xlfn.CONCAT(I744,"_",RetailSales[[#This Row],[Product Category]])</f>
        <v>2000_Beauty</v>
      </c>
    </row>
    <row r="745" spans="1:12">
      <c r="A745">
        <v>744</v>
      </c>
      <c r="B745">
        <v>45053</v>
      </c>
      <c r="C745" t="s">
        <v>772</v>
      </c>
      <c r="D745" t="s">
        <v>13</v>
      </c>
      <c r="E745">
        <v>40</v>
      </c>
      <c r="F745" t="s">
        <v>20</v>
      </c>
      <c r="G745">
        <v>1</v>
      </c>
      <c r="H745">
        <v>25</v>
      </c>
      <c r="I745">
        <f t="shared" si="22"/>
        <v>25</v>
      </c>
      <c r="J745" s="4">
        <f t="shared" si="23"/>
        <v>0.375</v>
      </c>
      <c r="K745" t="str">
        <f>IF(RetailSales[[#This Row],[Age]]&lt;30,"Young Adult",IF(RetailSales[[#This Row],[Age]]&lt;50,"Adult","Senior"))</f>
        <v>Adult</v>
      </c>
      <c r="L745" t="str">
        <f>_xlfn.CONCAT(I745,"_",RetailSales[[#This Row],[Product Category]])</f>
        <v>25_Electronics</v>
      </c>
    </row>
    <row r="746" spans="1:12">
      <c r="A746">
        <v>745</v>
      </c>
      <c r="B746">
        <v>45029</v>
      </c>
      <c r="C746" t="s">
        <v>773</v>
      </c>
      <c r="D746" t="s">
        <v>13</v>
      </c>
      <c r="E746">
        <v>54</v>
      </c>
      <c r="F746" t="s">
        <v>14</v>
      </c>
      <c r="G746">
        <v>2</v>
      </c>
      <c r="H746">
        <v>50</v>
      </c>
      <c r="I746">
        <f t="shared" si="22"/>
        <v>100</v>
      </c>
      <c r="J746" s="4">
        <f t="shared" si="23"/>
        <v>1.5</v>
      </c>
      <c r="K746" t="str">
        <f>IF(RetailSales[[#This Row],[Age]]&lt;30,"Young Adult",IF(RetailSales[[#This Row],[Age]]&lt;50,"Adult","Senior"))</f>
        <v>Senior</v>
      </c>
      <c r="L746" t="str">
        <f>_xlfn.CONCAT(I746,"_",RetailSales[[#This Row],[Product Category]])</f>
        <v>100_Beauty</v>
      </c>
    </row>
    <row r="747" spans="1:12">
      <c r="A747">
        <v>746</v>
      </c>
      <c r="B747">
        <v>44937</v>
      </c>
      <c r="C747" t="s">
        <v>774</v>
      </c>
      <c r="D747" t="s">
        <v>17</v>
      </c>
      <c r="E747">
        <v>33</v>
      </c>
      <c r="F747" t="s">
        <v>18</v>
      </c>
      <c r="G747">
        <v>3</v>
      </c>
      <c r="H747">
        <v>30</v>
      </c>
      <c r="I747">
        <f t="shared" si="22"/>
        <v>90</v>
      </c>
      <c r="J747" s="4">
        <f t="shared" si="23"/>
        <v>1.3499999999999999</v>
      </c>
      <c r="K747" t="str">
        <f>IF(RetailSales[[#This Row],[Age]]&lt;30,"Young Adult",IF(RetailSales[[#This Row],[Age]]&lt;50,"Adult","Senior"))</f>
        <v>Adult</v>
      </c>
      <c r="L747" t="str">
        <f>_xlfn.CONCAT(I747,"_",RetailSales[[#This Row],[Product Category]])</f>
        <v>90_Clothing</v>
      </c>
    </row>
    <row r="748" spans="1:12">
      <c r="A748">
        <v>747</v>
      </c>
      <c r="B748">
        <v>45245</v>
      </c>
      <c r="C748" t="s">
        <v>775</v>
      </c>
      <c r="D748" t="s">
        <v>13</v>
      </c>
      <c r="E748">
        <v>23</v>
      </c>
      <c r="F748" t="s">
        <v>14</v>
      </c>
      <c r="G748">
        <v>1</v>
      </c>
      <c r="H748">
        <v>30</v>
      </c>
      <c r="I748">
        <f t="shared" si="22"/>
        <v>30</v>
      </c>
      <c r="J748" s="4">
        <f t="shared" si="23"/>
        <v>0.44999999999999996</v>
      </c>
      <c r="K748" t="str">
        <f>IF(RetailSales[[#This Row],[Age]]&lt;30,"Young Adult",IF(RetailSales[[#This Row],[Age]]&lt;50,"Adult","Senior"))</f>
        <v>Young Adult</v>
      </c>
      <c r="L748" t="str">
        <f>_xlfn.CONCAT(I748,"_",RetailSales[[#This Row],[Product Category]])</f>
        <v>30_Beauty</v>
      </c>
    </row>
    <row r="749" spans="1:12">
      <c r="A749">
        <v>748</v>
      </c>
      <c r="B749">
        <v>45005</v>
      </c>
      <c r="C749" t="s">
        <v>776</v>
      </c>
      <c r="D749" t="s">
        <v>13</v>
      </c>
      <c r="E749">
        <v>25</v>
      </c>
      <c r="F749" t="s">
        <v>18</v>
      </c>
      <c r="G749">
        <v>3</v>
      </c>
      <c r="H749">
        <v>50</v>
      </c>
      <c r="I749">
        <f t="shared" si="22"/>
        <v>150</v>
      </c>
      <c r="J749" s="4">
        <f t="shared" si="23"/>
        <v>2.25</v>
      </c>
      <c r="K749" t="str">
        <f>IF(RetailSales[[#This Row],[Age]]&lt;30,"Young Adult",IF(RetailSales[[#This Row],[Age]]&lt;50,"Adult","Senior"))</f>
        <v>Young Adult</v>
      </c>
      <c r="L749" t="str">
        <f>_xlfn.CONCAT(I749,"_",RetailSales[[#This Row],[Product Category]])</f>
        <v>150_Clothing</v>
      </c>
    </row>
    <row r="750" spans="1:12">
      <c r="A750">
        <v>749</v>
      </c>
      <c r="B750">
        <v>45049</v>
      </c>
      <c r="C750" t="s">
        <v>777</v>
      </c>
      <c r="D750" t="s">
        <v>13</v>
      </c>
      <c r="E750">
        <v>42</v>
      </c>
      <c r="F750" t="s">
        <v>14</v>
      </c>
      <c r="G750">
        <v>1</v>
      </c>
      <c r="H750">
        <v>30</v>
      </c>
      <c r="I750">
        <f t="shared" si="22"/>
        <v>30</v>
      </c>
      <c r="J750" s="4">
        <f t="shared" si="23"/>
        <v>0.44999999999999996</v>
      </c>
      <c r="K750" t="str">
        <f>IF(RetailSales[[#This Row],[Age]]&lt;30,"Young Adult",IF(RetailSales[[#This Row],[Age]]&lt;50,"Adult","Senior"))</f>
        <v>Adult</v>
      </c>
      <c r="L750" t="str">
        <f>_xlfn.CONCAT(I750,"_",RetailSales[[#This Row],[Product Category]])</f>
        <v>30_Beauty</v>
      </c>
    </row>
    <row r="751" spans="1:12">
      <c r="A751">
        <v>750</v>
      </c>
      <c r="B751">
        <v>44991</v>
      </c>
      <c r="C751" t="s">
        <v>778</v>
      </c>
      <c r="D751" t="s">
        <v>17</v>
      </c>
      <c r="E751">
        <v>35</v>
      </c>
      <c r="F751" t="s">
        <v>18</v>
      </c>
      <c r="G751">
        <v>3</v>
      </c>
      <c r="H751">
        <v>25</v>
      </c>
      <c r="I751">
        <f t="shared" si="22"/>
        <v>75</v>
      </c>
      <c r="J751" s="4">
        <f t="shared" si="23"/>
        <v>1.125</v>
      </c>
      <c r="K751" t="str">
        <f>IF(RetailSales[[#This Row],[Age]]&lt;30,"Young Adult",IF(RetailSales[[#This Row],[Age]]&lt;50,"Adult","Senior"))</f>
        <v>Adult</v>
      </c>
      <c r="L751" t="str">
        <f>_xlfn.CONCAT(I751,"_",RetailSales[[#This Row],[Product Category]])</f>
        <v>75_Clothing</v>
      </c>
    </row>
    <row r="752" spans="1:12">
      <c r="A752">
        <v>751</v>
      </c>
      <c r="B752">
        <v>45169</v>
      </c>
      <c r="C752" t="s">
        <v>779</v>
      </c>
      <c r="D752" t="s">
        <v>17</v>
      </c>
      <c r="E752">
        <v>42</v>
      </c>
      <c r="F752" t="s">
        <v>18</v>
      </c>
      <c r="G752">
        <v>2</v>
      </c>
      <c r="H752">
        <v>25</v>
      </c>
      <c r="I752">
        <f t="shared" si="22"/>
        <v>50</v>
      </c>
      <c r="J752" s="4">
        <f t="shared" si="23"/>
        <v>0.75</v>
      </c>
      <c r="K752" t="str">
        <f>IF(RetailSales[[#This Row],[Age]]&lt;30,"Young Adult",IF(RetailSales[[#This Row],[Age]]&lt;50,"Adult","Senior"))</f>
        <v>Adult</v>
      </c>
      <c r="L752" t="str">
        <f>_xlfn.CONCAT(I752,"_",RetailSales[[#This Row],[Product Category]])</f>
        <v>50_Clothing</v>
      </c>
    </row>
    <row r="753" spans="1:12">
      <c r="A753">
        <v>752</v>
      </c>
      <c r="B753">
        <v>45269</v>
      </c>
      <c r="C753" t="s">
        <v>780</v>
      </c>
      <c r="D753" t="s">
        <v>13</v>
      </c>
      <c r="E753">
        <v>29</v>
      </c>
      <c r="F753" t="s">
        <v>18</v>
      </c>
      <c r="G753">
        <v>2</v>
      </c>
      <c r="H753">
        <v>50</v>
      </c>
      <c r="I753">
        <f t="shared" si="22"/>
        <v>100</v>
      </c>
      <c r="J753" s="4">
        <f t="shared" si="23"/>
        <v>1.5</v>
      </c>
      <c r="K753" t="str">
        <f>IF(RetailSales[[#This Row],[Age]]&lt;30,"Young Adult",IF(RetailSales[[#This Row],[Age]]&lt;50,"Adult","Senior"))</f>
        <v>Young Adult</v>
      </c>
      <c r="L753" t="str">
        <f>_xlfn.CONCAT(I753,"_",RetailSales[[#This Row],[Product Category]])</f>
        <v>100_Clothing</v>
      </c>
    </row>
    <row r="754" spans="1:12">
      <c r="A754">
        <v>753</v>
      </c>
      <c r="B754">
        <v>44985</v>
      </c>
      <c r="C754" t="s">
        <v>781</v>
      </c>
      <c r="D754" t="s">
        <v>17</v>
      </c>
      <c r="E754">
        <v>32</v>
      </c>
      <c r="F754" t="s">
        <v>18</v>
      </c>
      <c r="G754">
        <v>1</v>
      </c>
      <c r="H754">
        <v>30</v>
      </c>
      <c r="I754">
        <f t="shared" si="22"/>
        <v>30</v>
      </c>
      <c r="J754" s="4">
        <f t="shared" si="23"/>
        <v>0.44999999999999996</v>
      </c>
      <c r="K754" t="str">
        <f>IF(RetailSales[[#This Row],[Age]]&lt;30,"Young Adult",IF(RetailSales[[#This Row],[Age]]&lt;50,"Adult","Senior"))</f>
        <v>Adult</v>
      </c>
      <c r="L754" t="str">
        <f>_xlfn.CONCAT(I754,"_",RetailSales[[#This Row],[Product Category]])</f>
        <v>30_Clothing</v>
      </c>
    </row>
    <row r="755" spans="1:12">
      <c r="A755">
        <v>754</v>
      </c>
      <c r="B755">
        <v>45215</v>
      </c>
      <c r="C755" t="s">
        <v>782</v>
      </c>
      <c r="D755" t="s">
        <v>17</v>
      </c>
      <c r="E755">
        <v>43</v>
      </c>
      <c r="F755" t="s">
        <v>20</v>
      </c>
      <c r="G755">
        <v>4</v>
      </c>
      <c r="H755">
        <v>25</v>
      </c>
      <c r="I755">
        <f t="shared" si="22"/>
        <v>100</v>
      </c>
      <c r="J755" s="4">
        <f t="shared" si="23"/>
        <v>1.5</v>
      </c>
      <c r="K755" t="str">
        <f>IF(RetailSales[[#This Row],[Age]]&lt;30,"Young Adult",IF(RetailSales[[#This Row],[Age]]&lt;50,"Adult","Senior"))</f>
        <v>Adult</v>
      </c>
      <c r="L755" t="str">
        <f>_xlfn.CONCAT(I755,"_",RetailSales[[#This Row],[Product Category]])</f>
        <v>100_Electronics</v>
      </c>
    </row>
    <row r="756" spans="1:12">
      <c r="A756">
        <v>755</v>
      </c>
      <c r="B756">
        <v>45038</v>
      </c>
      <c r="C756" t="s">
        <v>783</v>
      </c>
      <c r="D756" t="s">
        <v>17</v>
      </c>
      <c r="E756">
        <v>58</v>
      </c>
      <c r="F756" t="s">
        <v>18</v>
      </c>
      <c r="G756">
        <v>3</v>
      </c>
      <c r="H756">
        <v>25</v>
      </c>
      <c r="I756">
        <f t="shared" si="22"/>
        <v>75</v>
      </c>
      <c r="J756" s="4">
        <f t="shared" si="23"/>
        <v>1.125</v>
      </c>
      <c r="K756" t="str">
        <f>IF(RetailSales[[#This Row],[Age]]&lt;30,"Young Adult",IF(RetailSales[[#This Row],[Age]]&lt;50,"Adult","Senior"))</f>
        <v>Senior</v>
      </c>
      <c r="L756" t="str">
        <f>_xlfn.CONCAT(I756,"_",RetailSales[[#This Row],[Product Category]])</f>
        <v>75_Clothing</v>
      </c>
    </row>
    <row r="757" spans="1:12">
      <c r="A757">
        <v>756</v>
      </c>
      <c r="B757">
        <v>45165</v>
      </c>
      <c r="C757" t="s">
        <v>784</v>
      </c>
      <c r="D757" t="s">
        <v>17</v>
      </c>
      <c r="E757">
        <v>62</v>
      </c>
      <c r="F757" t="s">
        <v>20</v>
      </c>
      <c r="G757">
        <v>4</v>
      </c>
      <c r="H757">
        <v>300</v>
      </c>
      <c r="I757">
        <f t="shared" si="22"/>
        <v>1200</v>
      </c>
      <c r="J757" s="4">
        <f t="shared" si="23"/>
        <v>18</v>
      </c>
      <c r="K757" t="str">
        <f>IF(RetailSales[[#This Row],[Age]]&lt;30,"Young Adult",IF(RetailSales[[#This Row],[Age]]&lt;50,"Adult","Senior"))</f>
        <v>Senior</v>
      </c>
      <c r="L757" t="str">
        <f>_xlfn.CONCAT(I757,"_",RetailSales[[#This Row],[Product Category]])</f>
        <v>1200_Electronics</v>
      </c>
    </row>
    <row r="758" spans="1:12">
      <c r="A758">
        <v>757</v>
      </c>
      <c r="B758">
        <v>45285</v>
      </c>
      <c r="C758" t="s">
        <v>785</v>
      </c>
      <c r="D758" t="s">
        <v>17</v>
      </c>
      <c r="E758">
        <v>43</v>
      </c>
      <c r="F758" t="s">
        <v>20</v>
      </c>
      <c r="G758">
        <v>4</v>
      </c>
      <c r="H758">
        <v>300</v>
      </c>
      <c r="I758">
        <f t="shared" si="22"/>
        <v>1200</v>
      </c>
      <c r="J758" s="4">
        <f t="shared" si="23"/>
        <v>18</v>
      </c>
      <c r="K758" t="str">
        <f>IF(RetailSales[[#This Row],[Age]]&lt;30,"Young Adult",IF(RetailSales[[#This Row],[Age]]&lt;50,"Adult","Senior"))</f>
        <v>Adult</v>
      </c>
      <c r="L758" t="str">
        <f>_xlfn.CONCAT(I758,"_",RetailSales[[#This Row],[Product Category]])</f>
        <v>1200_Electronics</v>
      </c>
    </row>
    <row r="759" spans="1:12">
      <c r="A759">
        <v>758</v>
      </c>
      <c r="B759">
        <v>45058</v>
      </c>
      <c r="C759" t="s">
        <v>786</v>
      </c>
      <c r="D759" t="s">
        <v>13</v>
      </c>
      <c r="E759">
        <v>64</v>
      </c>
      <c r="F759" t="s">
        <v>18</v>
      </c>
      <c r="G759">
        <v>4</v>
      </c>
      <c r="H759">
        <v>25</v>
      </c>
      <c r="I759">
        <f t="shared" si="22"/>
        <v>100</v>
      </c>
      <c r="J759" s="4">
        <f t="shared" si="23"/>
        <v>1.5</v>
      </c>
      <c r="K759" t="str">
        <f>IF(RetailSales[[#This Row],[Age]]&lt;30,"Young Adult",IF(RetailSales[[#This Row],[Age]]&lt;50,"Adult","Senior"))</f>
        <v>Senior</v>
      </c>
      <c r="L759" t="str">
        <f>_xlfn.CONCAT(I759,"_",RetailSales[[#This Row],[Product Category]])</f>
        <v>100_Clothing</v>
      </c>
    </row>
    <row r="760" spans="1:12">
      <c r="A760">
        <v>759</v>
      </c>
      <c r="B760">
        <v>45115</v>
      </c>
      <c r="C760" t="s">
        <v>787</v>
      </c>
      <c r="D760" t="s">
        <v>13</v>
      </c>
      <c r="E760">
        <v>49</v>
      </c>
      <c r="F760" t="s">
        <v>20</v>
      </c>
      <c r="G760">
        <v>2</v>
      </c>
      <c r="H760">
        <v>50</v>
      </c>
      <c r="I760">
        <f t="shared" si="22"/>
        <v>100</v>
      </c>
      <c r="J760" s="4">
        <f t="shared" si="23"/>
        <v>1.5</v>
      </c>
      <c r="K760" t="str">
        <f>IF(RetailSales[[#This Row],[Age]]&lt;30,"Young Adult",IF(RetailSales[[#This Row],[Age]]&lt;50,"Adult","Senior"))</f>
        <v>Adult</v>
      </c>
      <c r="L760" t="str">
        <f>_xlfn.CONCAT(I760,"_",RetailSales[[#This Row],[Product Category]])</f>
        <v>100_Electronics</v>
      </c>
    </row>
    <row r="761" spans="1:12">
      <c r="A761">
        <v>760</v>
      </c>
      <c r="B761">
        <v>45012</v>
      </c>
      <c r="C761" t="s">
        <v>788</v>
      </c>
      <c r="D761" t="s">
        <v>13</v>
      </c>
      <c r="E761">
        <v>27</v>
      </c>
      <c r="F761" t="s">
        <v>14</v>
      </c>
      <c r="G761">
        <v>1</v>
      </c>
      <c r="H761">
        <v>500</v>
      </c>
      <c r="I761">
        <f t="shared" si="22"/>
        <v>500</v>
      </c>
      <c r="J761" s="4">
        <f t="shared" si="23"/>
        <v>7.5</v>
      </c>
      <c r="K761" t="str">
        <f>IF(RetailSales[[#This Row],[Age]]&lt;30,"Young Adult",IF(RetailSales[[#This Row],[Age]]&lt;50,"Adult","Senior"))</f>
        <v>Young Adult</v>
      </c>
      <c r="L761" t="str">
        <f>_xlfn.CONCAT(I761,"_",RetailSales[[#This Row],[Product Category]])</f>
        <v>500_Beauty</v>
      </c>
    </row>
    <row r="762" spans="1:12">
      <c r="A762">
        <v>761</v>
      </c>
      <c r="B762">
        <v>45237</v>
      </c>
      <c r="C762" t="s">
        <v>789</v>
      </c>
      <c r="D762" t="s">
        <v>17</v>
      </c>
      <c r="E762">
        <v>33</v>
      </c>
      <c r="F762" t="s">
        <v>18</v>
      </c>
      <c r="G762">
        <v>1</v>
      </c>
      <c r="H762">
        <v>500</v>
      </c>
      <c r="I762">
        <f t="shared" si="22"/>
        <v>500</v>
      </c>
      <c r="J762" s="4">
        <f t="shared" si="23"/>
        <v>7.5</v>
      </c>
      <c r="K762" t="str">
        <f>IF(RetailSales[[#This Row],[Age]]&lt;30,"Young Adult",IF(RetailSales[[#This Row],[Age]]&lt;50,"Adult","Senior"))</f>
        <v>Adult</v>
      </c>
      <c r="L762" t="str">
        <f>_xlfn.CONCAT(I762,"_",RetailSales[[#This Row],[Product Category]])</f>
        <v>500_Clothing</v>
      </c>
    </row>
    <row r="763" spans="1:12">
      <c r="A763">
        <v>762</v>
      </c>
      <c r="B763">
        <v>45237</v>
      </c>
      <c r="C763" t="s">
        <v>790</v>
      </c>
      <c r="D763" t="s">
        <v>17</v>
      </c>
      <c r="E763">
        <v>24</v>
      </c>
      <c r="F763" t="s">
        <v>20</v>
      </c>
      <c r="G763">
        <v>2</v>
      </c>
      <c r="H763">
        <v>25</v>
      </c>
      <c r="I763">
        <f t="shared" si="22"/>
        <v>50</v>
      </c>
      <c r="J763" s="4">
        <f t="shared" si="23"/>
        <v>0.75</v>
      </c>
      <c r="K763" t="str">
        <f>IF(RetailSales[[#This Row],[Age]]&lt;30,"Young Adult",IF(RetailSales[[#This Row],[Age]]&lt;50,"Adult","Senior"))</f>
        <v>Young Adult</v>
      </c>
      <c r="L763" t="str">
        <f>_xlfn.CONCAT(I763,"_",RetailSales[[#This Row],[Product Category]])</f>
        <v>50_Electronics</v>
      </c>
    </row>
    <row r="764" spans="1:12">
      <c r="A764">
        <v>763</v>
      </c>
      <c r="B764">
        <v>44985</v>
      </c>
      <c r="C764" t="s">
        <v>791</v>
      </c>
      <c r="D764" t="s">
        <v>13</v>
      </c>
      <c r="E764">
        <v>34</v>
      </c>
      <c r="F764" t="s">
        <v>18</v>
      </c>
      <c r="G764">
        <v>2</v>
      </c>
      <c r="H764">
        <v>25</v>
      </c>
      <c r="I764">
        <f t="shared" si="22"/>
        <v>50</v>
      </c>
      <c r="J764" s="4">
        <f t="shared" si="23"/>
        <v>0.75</v>
      </c>
      <c r="K764" t="str">
        <f>IF(RetailSales[[#This Row],[Age]]&lt;30,"Young Adult",IF(RetailSales[[#This Row],[Age]]&lt;50,"Adult","Senior"))</f>
        <v>Adult</v>
      </c>
      <c r="L764" t="str">
        <f>_xlfn.CONCAT(I764,"_",RetailSales[[#This Row],[Product Category]])</f>
        <v>50_Clothing</v>
      </c>
    </row>
    <row r="765" spans="1:12">
      <c r="A765">
        <v>764</v>
      </c>
      <c r="B765">
        <v>45010</v>
      </c>
      <c r="C765" t="s">
        <v>792</v>
      </c>
      <c r="D765" t="s">
        <v>17</v>
      </c>
      <c r="E765">
        <v>40</v>
      </c>
      <c r="F765" t="s">
        <v>18</v>
      </c>
      <c r="G765">
        <v>1</v>
      </c>
      <c r="H765">
        <v>25</v>
      </c>
      <c r="I765">
        <f t="shared" si="22"/>
        <v>25</v>
      </c>
      <c r="J765" s="4">
        <f t="shared" si="23"/>
        <v>0.375</v>
      </c>
      <c r="K765" t="str">
        <f>IF(RetailSales[[#This Row],[Age]]&lt;30,"Young Adult",IF(RetailSales[[#This Row],[Age]]&lt;50,"Adult","Senior"))</f>
        <v>Adult</v>
      </c>
      <c r="L765" t="str">
        <f>_xlfn.CONCAT(I765,"_",RetailSales[[#This Row],[Product Category]])</f>
        <v>25_Clothing</v>
      </c>
    </row>
    <row r="766" spans="1:12">
      <c r="A766">
        <v>765</v>
      </c>
      <c r="B766">
        <v>45086</v>
      </c>
      <c r="C766" t="s">
        <v>793</v>
      </c>
      <c r="D766" t="s">
        <v>13</v>
      </c>
      <c r="E766">
        <v>43</v>
      </c>
      <c r="F766" t="s">
        <v>18</v>
      </c>
      <c r="G766">
        <v>4</v>
      </c>
      <c r="H766">
        <v>50</v>
      </c>
      <c r="I766">
        <f t="shared" si="22"/>
        <v>200</v>
      </c>
      <c r="J766" s="4">
        <f t="shared" si="23"/>
        <v>3</v>
      </c>
      <c r="K766" t="str">
        <f>IF(RetailSales[[#This Row],[Age]]&lt;30,"Young Adult",IF(RetailSales[[#This Row],[Age]]&lt;50,"Adult","Senior"))</f>
        <v>Adult</v>
      </c>
      <c r="L766" t="str">
        <f>_xlfn.CONCAT(I766,"_",RetailSales[[#This Row],[Product Category]])</f>
        <v>200_Clothing</v>
      </c>
    </row>
    <row r="767" spans="1:12">
      <c r="A767">
        <v>766</v>
      </c>
      <c r="B767">
        <v>44982</v>
      </c>
      <c r="C767" t="s">
        <v>794</v>
      </c>
      <c r="D767" t="s">
        <v>13</v>
      </c>
      <c r="E767">
        <v>38</v>
      </c>
      <c r="F767" t="s">
        <v>20</v>
      </c>
      <c r="G767">
        <v>3</v>
      </c>
      <c r="H767">
        <v>300</v>
      </c>
      <c r="I767">
        <f t="shared" si="22"/>
        <v>900</v>
      </c>
      <c r="J767" s="4">
        <f t="shared" si="23"/>
        <v>13.5</v>
      </c>
      <c r="K767" t="str">
        <f>IF(RetailSales[[#This Row],[Age]]&lt;30,"Young Adult",IF(RetailSales[[#This Row],[Age]]&lt;50,"Adult","Senior"))</f>
        <v>Adult</v>
      </c>
      <c r="L767" t="str">
        <f>_xlfn.CONCAT(I767,"_",RetailSales[[#This Row],[Product Category]])</f>
        <v>900_Electronics</v>
      </c>
    </row>
    <row r="768" spans="1:12">
      <c r="A768">
        <v>767</v>
      </c>
      <c r="B768">
        <v>45223</v>
      </c>
      <c r="C768" t="s">
        <v>795</v>
      </c>
      <c r="D768" t="s">
        <v>13</v>
      </c>
      <c r="E768">
        <v>39</v>
      </c>
      <c r="F768" t="s">
        <v>14</v>
      </c>
      <c r="G768">
        <v>3</v>
      </c>
      <c r="H768">
        <v>25</v>
      </c>
      <c r="I768">
        <f t="shared" si="22"/>
        <v>75</v>
      </c>
      <c r="J768" s="4">
        <f t="shared" si="23"/>
        <v>1.125</v>
      </c>
      <c r="K768" t="str">
        <f>IF(RetailSales[[#This Row],[Age]]&lt;30,"Young Adult",IF(RetailSales[[#This Row],[Age]]&lt;50,"Adult","Senior"))</f>
        <v>Adult</v>
      </c>
      <c r="L768" t="str">
        <f>_xlfn.CONCAT(I768,"_",RetailSales[[#This Row],[Product Category]])</f>
        <v>75_Beauty</v>
      </c>
    </row>
    <row r="769" spans="1:12">
      <c r="A769">
        <v>768</v>
      </c>
      <c r="B769">
        <v>44940</v>
      </c>
      <c r="C769" t="s">
        <v>796</v>
      </c>
      <c r="D769" t="s">
        <v>17</v>
      </c>
      <c r="E769">
        <v>24</v>
      </c>
      <c r="F769" t="s">
        <v>14</v>
      </c>
      <c r="G769">
        <v>3</v>
      </c>
      <c r="H769">
        <v>25</v>
      </c>
      <c r="I769">
        <f t="shared" si="22"/>
        <v>75</v>
      </c>
      <c r="J769" s="4">
        <f t="shared" si="23"/>
        <v>1.125</v>
      </c>
      <c r="K769" t="str">
        <f>IF(RetailSales[[#This Row],[Age]]&lt;30,"Young Adult",IF(RetailSales[[#This Row],[Age]]&lt;50,"Adult","Senior"))</f>
        <v>Young Adult</v>
      </c>
      <c r="L769" t="str">
        <f>_xlfn.CONCAT(I769,"_",RetailSales[[#This Row],[Product Category]])</f>
        <v>75_Beauty</v>
      </c>
    </row>
    <row r="770" spans="1:12">
      <c r="A770">
        <v>769</v>
      </c>
      <c r="B770">
        <v>45086</v>
      </c>
      <c r="C770" t="s">
        <v>797</v>
      </c>
      <c r="D770" t="s">
        <v>17</v>
      </c>
      <c r="E770">
        <v>31</v>
      </c>
      <c r="F770" t="s">
        <v>20</v>
      </c>
      <c r="G770">
        <v>4</v>
      </c>
      <c r="H770">
        <v>30</v>
      </c>
      <c r="I770">
        <f t="shared" si="22"/>
        <v>120</v>
      </c>
      <c r="J770" s="4">
        <f t="shared" si="23"/>
        <v>1.7999999999999998</v>
      </c>
      <c r="K770" t="str">
        <f>IF(RetailSales[[#This Row],[Age]]&lt;30,"Young Adult",IF(RetailSales[[#This Row],[Age]]&lt;50,"Adult","Senior"))</f>
        <v>Adult</v>
      </c>
      <c r="L770" t="str">
        <f>_xlfn.CONCAT(I770,"_",RetailSales[[#This Row],[Product Category]])</f>
        <v>120_Electronics</v>
      </c>
    </row>
    <row r="771" spans="1:12">
      <c r="A771">
        <v>770</v>
      </c>
      <c r="B771">
        <v>45221</v>
      </c>
      <c r="C771" t="s">
        <v>798</v>
      </c>
      <c r="D771" t="s">
        <v>13</v>
      </c>
      <c r="E771">
        <v>32</v>
      </c>
      <c r="F771" t="s">
        <v>18</v>
      </c>
      <c r="G771">
        <v>1</v>
      </c>
      <c r="H771">
        <v>50</v>
      </c>
      <c r="I771">
        <f t="shared" ref="I771:I834" si="24">G771*H771</f>
        <v>50</v>
      </c>
      <c r="J771" s="4">
        <f t="shared" ref="J771:J834" si="25">I771*$O$3</f>
        <v>0.75</v>
      </c>
      <c r="K771" t="str">
        <f>IF(RetailSales[[#This Row],[Age]]&lt;30,"Young Adult",IF(RetailSales[[#This Row],[Age]]&lt;50,"Adult","Senior"))</f>
        <v>Adult</v>
      </c>
      <c r="L771" t="str">
        <f>_xlfn.CONCAT(I771,"_",RetailSales[[#This Row],[Product Category]])</f>
        <v>50_Clothing</v>
      </c>
    </row>
    <row r="772" spans="1:12">
      <c r="A772">
        <v>771</v>
      </c>
      <c r="B772">
        <v>45273</v>
      </c>
      <c r="C772" t="s">
        <v>799</v>
      </c>
      <c r="D772" t="s">
        <v>13</v>
      </c>
      <c r="E772">
        <v>24</v>
      </c>
      <c r="F772" t="s">
        <v>20</v>
      </c>
      <c r="G772">
        <v>2</v>
      </c>
      <c r="H772">
        <v>25</v>
      </c>
      <c r="I772">
        <f t="shared" si="24"/>
        <v>50</v>
      </c>
      <c r="J772" s="4">
        <f t="shared" si="25"/>
        <v>0.75</v>
      </c>
      <c r="K772" t="str">
        <f>IF(RetailSales[[#This Row],[Age]]&lt;30,"Young Adult",IF(RetailSales[[#This Row],[Age]]&lt;50,"Adult","Senior"))</f>
        <v>Young Adult</v>
      </c>
      <c r="L772" t="str">
        <f>_xlfn.CONCAT(I772,"_",RetailSales[[#This Row],[Product Category]])</f>
        <v>50_Electronics</v>
      </c>
    </row>
    <row r="773" spans="1:12">
      <c r="A773">
        <v>772</v>
      </c>
      <c r="B773">
        <v>45119</v>
      </c>
      <c r="C773" t="s">
        <v>800</v>
      </c>
      <c r="D773" t="s">
        <v>13</v>
      </c>
      <c r="E773">
        <v>26</v>
      </c>
      <c r="F773" t="s">
        <v>20</v>
      </c>
      <c r="G773">
        <v>1</v>
      </c>
      <c r="H773">
        <v>30</v>
      </c>
      <c r="I773">
        <f t="shared" si="24"/>
        <v>30</v>
      </c>
      <c r="J773" s="4">
        <f t="shared" si="25"/>
        <v>0.44999999999999996</v>
      </c>
      <c r="K773" t="str">
        <f>IF(RetailSales[[#This Row],[Age]]&lt;30,"Young Adult",IF(RetailSales[[#This Row],[Age]]&lt;50,"Adult","Senior"))</f>
        <v>Young Adult</v>
      </c>
      <c r="L773" t="str">
        <f>_xlfn.CONCAT(I773,"_",RetailSales[[#This Row],[Product Category]])</f>
        <v>30_Electronics</v>
      </c>
    </row>
    <row r="774" spans="1:12">
      <c r="A774">
        <v>773</v>
      </c>
      <c r="B774">
        <v>45130</v>
      </c>
      <c r="C774" t="s">
        <v>801</v>
      </c>
      <c r="D774" t="s">
        <v>13</v>
      </c>
      <c r="E774">
        <v>25</v>
      </c>
      <c r="F774" t="s">
        <v>20</v>
      </c>
      <c r="G774">
        <v>4</v>
      </c>
      <c r="H774">
        <v>500</v>
      </c>
      <c r="I774">
        <f t="shared" si="24"/>
        <v>2000</v>
      </c>
      <c r="J774" s="4">
        <f t="shared" si="25"/>
        <v>30</v>
      </c>
      <c r="K774" t="str">
        <f>IF(RetailSales[[#This Row],[Age]]&lt;30,"Young Adult",IF(RetailSales[[#This Row],[Age]]&lt;50,"Adult","Senior"))</f>
        <v>Young Adult</v>
      </c>
      <c r="L774" t="str">
        <f>_xlfn.CONCAT(I774,"_",RetailSales[[#This Row],[Product Category]])</f>
        <v>2000_Electronics</v>
      </c>
    </row>
    <row r="775" spans="1:12">
      <c r="A775">
        <v>774</v>
      </c>
      <c r="B775">
        <v>45028</v>
      </c>
      <c r="C775" t="s">
        <v>802</v>
      </c>
      <c r="D775" t="s">
        <v>17</v>
      </c>
      <c r="E775">
        <v>40</v>
      </c>
      <c r="F775" t="s">
        <v>18</v>
      </c>
      <c r="G775">
        <v>2</v>
      </c>
      <c r="H775">
        <v>25</v>
      </c>
      <c r="I775">
        <f t="shared" si="24"/>
        <v>50</v>
      </c>
      <c r="J775" s="4">
        <f t="shared" si="25"/>
        <v>0.75</v>
      </c>
      <c r="K775" t="str">
        <f>IF(RetailSales[[#This Row],[Age]]&lt;30,"Young Adult",IF(RetailSales[[#This Row],[Age]]&lt;50,"Adult","Senior"))</f>
        <v>Adult</v>
      </c>
      <c r="L775" t="str">
        <f>_xlfn.CONCAT(I775,"_",RetailSales[[#This Row],[Product Category]])</f>
        <v>50_Clothing</v>
      </c>
    </row>
    <row r="776" spans="1:12">
      <c r="A776">
        <v>775</v>
      </c>
      <c r="B776">
        <v>44965</v>
      </c>
      <c r="C776" t="s">
        <v>803</v>
      </c>
      <c r="D776" t="s">
        <v>17</v>
      </c>
      <c r="E776">
        <v>46</v>
      </c>
      <c r="F776" t="s">
        <v>20</v>
      </c>
      <c r="G776">
        <v>4</v>
      </c>
      <c r="H776">
        <v>25</v>
      </c>
      <c r="I776">
        <f t="shared" si="24"/>
        <v>100</v>
      </c>
      <c r="J776" s="4">
        <f t="shared" si="25"/>
        <v>1.5</v>
      </c>
      <c r="K776" t="str">
        <f>IF(RetailSales[[#This Row],[Age]]&lt;30,"Young Adult",IF(RetailSales[[#This Row],[Age]]&lt;50,"Adult","Senior"))</f>
        <v>Adult</v>
      </c>
      <c r="L776" t="str">
        <f>_xlfn.CONCAT(I776,"_",RetailSales[[#This Row],[Product Category]])</f>
        <v>100_Electronics</v>
      </c>
    </row>
    <row r="777" spans="1:12">
      <c r="A777">
        <v>776</v>
      </c>
      <c r="B777">
        <v>45230</v>
      </c>
      <c r="C777" t="s">
        <v>804</v>
      </c>
      <c r="D777" t="s">
        <v>13</v>
      </c>
      <c r="E777">
        <v>35</v>
      </c>
      <c r="F777" t="s">
        <v>18</v>
      </c>
      <c r="G777">
        <v>3</v>
      </c>
      <c r="H777">
        <v>30</v>
      </c>
      <c r="I777">
        <f t="shared" si="24"/>
        <v>90</v>
      </c>
      <c r="J777" s="4">
        <f t="shared" si="25"/>
        <v>1.3499999999999999</v>
      </c>
      <c r="K777" t="str">
        <f>IF(RetailSales[[#This Row],[Age]]&lt;30,"Young Adult",IF(RetailSales[[#This Row],[Age]]&lt;50,"Adult","Senior"))</f>
        <v>Adult</v>
      </c>
      <c r="L777" t="str">
        <f>_xlfn.CONCAT(I777,"_",RetailSales[[#This Row],[Product Category]])</f>
        <v>90_Clothing</v>
      </c>
    </row>
    <row r="778" spans="1:12">
      <c r="A778">
        <v>777</v>
      </c>
      <c r="B778">
        <v>45280</v>
      </c>
      <c r="C778" t="s">
        <v>805</v>
      </c>
      <c r="D778" t="s">
        <v>13</v>
      </c>
      <c r="E778">
        <v>48</v>
      </c>
      <c r="F778" t="s">
        <v>20</v>
      </c>
      <c r="G778">
        <v>3</v>
      </c>
      <c r="H778">
        <v>50</v>
      </c>
      <c r="I778">
        <f t="shared" si="24"/>
        <v>150</v>
      </c>
      <c r="J778" s="4">
        <f t="shared" si="25"/>
        <v>2.25</v>
      </c>
      <c r="K778" t="str">
        <f>IF(RetailSales[[#This Row],[Age]]&lt;30,"Young Adult",IF(RetailSales[[#This Row],[Age]]&lt;50,"Adult","Senior"))</f>
        <v>Adult</v>
      </c>
      <c r="L778" t="str">
        <f>_xlfn.CONCAT(I778,"_",RetailSales[[#This Row],[Product Category]])</f>
        <v>150_Electronics</v>
      </c>
    </row>
    <row r="779" spans="1:12">
      <c r="A779">
        <v>778</v>
      </c>
      <c r="B779">
        <v>45248</v>
      </c>
      <c r="C779" t="s">
        <v>806</v>
      </c>
      <c r="D779" t="s">
        <v>17</v>
      </c>
      <c r="E779">
        <v>47</v>
      </c>
      <c r="F779" t="s">
        <v>14</v>
      </c>
      <c r="G779">
        <v>4</v>
      </c>
      <c r="H779">
        <v>25</v>
      </c>
      <c r="I779">
        <f t="shared" si="24"/>
        <v>100</v>
      </c>
      <c r="J779" s="4">
        <f t="shared" si="25"/>
        <v>1.5</v>
      </c>
      <c r="K779" t="str">
        <f>IF(RetailSales[[#This Row],[Age]]&lt;30,"Young Adult",IF(RetailSales[[#This Row],[Age]]&lt;50,"Adult","Senior"))</f>
        <v>Adult</v>
      </c>
      <c r="L779" t="str">
        <f>_xlfn.CONCAT(I779,"_",RetailSales[[#This Row],[Product Category]])</f>
        <v>100_Beauty</v>
      </c>
    </row>
    <row r="780" spans="1:12">
      <c r="A780">
        <v>779</v>
      </c>
      <c r="B780">
        <v>45051</v>
      </c>
      <c r="C780" t="s">
        <v>807</v>
      </c>
      <c r="D780" t="s">
        <v>17</v>
      </c>
      <c r="E780">
        <v>56</v>
      </c>
      <c r="F780" t="s">
        <v>20</v>
      </c>
      <c r="G780">
        <v>2</v>
      </c>
      <c r="H780">
        <v>500</v>
      </c>
      <c r="I780">
        <f t="shared" si="24"/>
        <v>1000</v>
      </c>
      <c r="J780" s="4">
        <f t="shared" si="25"/>
        <v>15</v>
      </c>
      <c r="K780" t="str">
        <f>IF(RetailSales[[#This Row],[Age]]&lt;30,"Young Adult",IF(RetailSales[[#This Row],[Age]]&lt;50,"Adult","Senior"))</f>
        <v>Senior</v>
      </c>
      <c r="L780" t="str">
        <f>_xlfn.CONCAT(I780,"_",RetailSales[[#This Row],[Product Category]])</f>
        <v>1000_Electronics</v>
      </c>
    </row>
    <row r="781" spans="1:12">
      <c r="A781">
        <v>780</v>
      </c>
      <c r="B781">
        <v>44979</v>
      </c>
      <c r="C781" t="s">
        <v>808</v>
      </c>
      <c r="D781" t="s">
        <v>13</v>
      </c>
      <c r="E781">
        <v>52</v>
      </c>
      <c r="F781" t="s">
        <v>20</v>
      </c>
      <c r="G781">
        <v>2</v>
      </c>
      <c r="H781">
        <v>25</v>
      </c>
      <c r="I781">
        <f t="shared" si="24"/>
        <v>50</v>
      </c>
      <c r="J781" s="4">
        <f t="shared" si="25"/>
        <v>0.75</v>
      </c>
      <c r="K781" t="str">
        <f>IF(RetailSales[[#This Row],[Age]]&lt;30,"Young Adult",IF(RetailSales[[#This Row],[Age]]&lt;50,"Adult","Senior"))</f>
        <v>Senior</v>
      </c>
      <c r="L781" t="str">
        <f>_xlfn.CONCAT(I781,"_",RetailSales[[#This Row],[Product Category]])</f>
        <v>50_Electronics</v>
      </c>
    </row>
    <row r="782" spans="1:12">
      <c r="A782">
        <v>781</v>
      </c>
      <c r="B782">
        <v>45283</v>
      </c>
      <c r="C782" t="s">
        <v>809</v>
      </c>
      <c r="D782" t="s">
        <v>13</v>
      </c>
      <c r="E782">
        <v>35</v>
      </c>
      <c r="F782" t="s">
        <v>14</v>
      </c>
      <c r="G782">
        <v>1</v>
      </c>
      <c r="H782">
        <v>500</v>
      </c>
      <c r="I782">
        <f t="shared" si="24"/>
        <v>500</v>
      </c>
      <c r="J782" s="4">
        <f t="shared" si="25"/>
        <v>7.5</v>
      </c>
      <c r="K782" t="str">
        <f>IF(RetailSales[[#This Row],[Age]]&lt;30,"Young Adult",IF(RetailSales[[#This Row],[Age]]&lt;50,"Adult","Senior"))</f>
        <v>Adult</v>
      </c>
      <c r="L782" t="str">
        <f>_xlfn.CONCAT(I782,"_",RetailSales[[#This Row],[Product Category]])</f>
        <v>500_Beauty</v>
      </c>
    </row>
    <row r="783" spans="1:12">
      <c r="A783">
        <v>782</v>
      </c>
      <c r="B783">
        <v>45081</v>
      </c>
      <c r="C783" t="s">
        <v>810</v>
      </c>
      <c r="D783" t="s">
        <v>13</v>
      </c>
      <c r="E783">
        <v>59</v>
      </c>
      <c r="F783" t="s">
        <v>18</v>
      </c>
      <c r="G783">
        <v>3</v>
      </c>
      <c r="H783">
        <v>300</v>
      </c>
      <c r="I783">
        <f t="shared" si="24"/>
        <v>900</v>
      </c>
      <c r="J783" s="4">
        <f t="shared" si="25"/>
        <v>13.5</v>
      </c>
      <c r="K783" t="str">
        <f>IF(RetailSales[[#This Row],[Age]]&lt;30,"Young Adult",IF(RetailSales[[#This Row],[Age]]&lt;50,"Adult","Senior"))</f>
        <v>Senior</v>
      </c>
      <c r="L783" t="str">
        <f>_xlfn.CONCAT(I783,"_",RetailSales[[#This Row],[Product Category]])</f>
        <v>900_Clothing</v>
      </c>
    </row>
    <row r="784" spans="1:12">
      <c r="A784">
        <v>783</v>
      </c>
      <c r="B784">
        <v>45277</v>
      </c>
      <c r="C784" t="s">
        <v>811</v>
      </c>
      <c r="D784" t="s">
        <v>17</v>
      </c>
      <c r="E784">
        <v>56</v>
      </c>
      <c r="F784" t="s">
        <v>18</v>
      </c>
      <c r="G784">
        <v>1</v>
      </c>
      <c r="H784">
        <v>300</v>
      </c>
      <c r="I784">
        <f t="shared" si="24"/>
        <v>300</v>
      </c>
      <c r="J784" s="4">
        <f t="shared" si="25"/>
        <v>4.5</v>
      </c>
      <c r="K784" t="str">
        <f>IF(RetailSales[[#This Row],[Age]]&lt;30,"Young Adult",IF(RetailSales[[#This Row],[Age]]&lt;50,"Adult","Senior"))</f>
        <v>Senior</v>
      </c>
      <c r="L784" t="str">
        <f>_xlfn.CONCAT(I784,"_",RetailSales[[#This Row],[Product Category]])</f>
        <v>300_Clothing</v>
      </c>
    </row>
    <row r="785" spans="1:12">
      <c r="A785">
        <v>784</v>
      </c>
      <c r="B785">
        <v>45234</v>
      </c>
      <c r="C785" t="s">
        <v>812</v>
      </c>
      <c r="D785" t="s">
        <v>17</v>
      </c>
      <c r="E785">
        <v>34</v>
      </c>
      <c r="F785" t="s">
        <v>20</v>
      </c>
      <c r="G785">
        <v>1</v>
      </c>
      <c r="H785">
        <v>500</v>
      </c>
      <c r="I785">
        <f t="shared" si="24"/>
        <v>500</v>
      </c>
      <c r="J785" s="4">
        <f t="shared" si="25"/>
        <v>7.5</v>
      </c>
      <c r="K785" t="str">
        <f>IF(RetailSales[[#This Row],[Age]]&lt;30,"Young Adult",IF(RetailSales[[#This Row],[Age]]&lt;50,"Adult","Senior"))</f>
        <v>Adult</v>
      </c>
      <c r="L785" t="str">
        <f>_xlfn.CONCAT(I785,"_",RetailSales[[#This Row],[Product Category]])</f>
        <v>500_Electronics</v>
      </c>
    </row>
    <row r="786" spans="1:12">
      <c r="A786">
        <v>785</v>
      </c>
      <c r="B786">
        <v>44988</v>
      </c>
      <c r="C786" t="s">
        <v>813</v>
      </c>
      <c r="D786" t="s">
        <v>17</v>
      </c>
      <c r="E786">
        <v>31</v>
      </c>
      <c r="F786" t="s">
        <v>14</v>
      </c>
      <c r="G786">
        <v>4</v>
      </c>
      <c r="H786">
        <v>50</v>
      </c>
      <c r="I786">
        <f t="shared" si="24"/>
        <v>200</v>
      </c>
      <c r="J786" s="4">
        <f t="shared" si="25"/>
        <v>3</v>
      </c>
      <c r="K786" t="str">
        <f>IF(RetailSales[[#This Row],[Age]]&lt;30,"Young Adult",IF(RetailSales[[#This Row],[Age]]&lt;50,"Adult","Senior"))</f>
        <v>Adult</v>
      </c>
      <c r="L786" t="str">
        <f>_xlfn.CONCAT(I786,"_",RetailSales[[#This Row],[Product Category]])</f>
        <v>200_Beauty</v>
      </c>
    </row>
    <row r="787" spans="1:12">
      <c r="A787">
        <v>786</v>
      </c>
      <c r="B787">
        <v>45216</v>
      </c>
      <c r="C787" t="s">
        <v>814</v>
      </c>
      <c r="D787" t="s">
        <v>13</v>
      </c>
      <c r="E787">
        <v>48</v>
      </c>
      <c r="F787" t="s">
        <v>18</v>
      </c>
      <c r="G787">
        <v>4</v>
      </c>
      <c r="H787">
        <v>25</v>
      </c>
      <c r="I787">
        <f t="shared" si="24"/>
        <v>100</v>
      </c>
      <c r="J787" s="4">
        <f t="shared" si="25"/>
        <v>1.5</v>
      </c>
      <c r="K787" t="str">
        <f>IF(RetailSales[[#This Row],[Age]]&lt;30,"Young Adult",IF(RetailSales[[#This Row],[Age]]&lt;50,"Adult","Senior"))</f>
        <v>Adult</v>
      </c>
      <c r="L787" t="str">
        <f>_xlfn.CONCAT(I787,"_",RetailSales[[#This Row],[Product Category]])</f>
        <v>100_Clothing</v>
      </c>
    </row>
    <row r="788" spans="1:12">
      <c r="A788">
        <v>787</v>
      </c>
      <c r="B788">
        <v>44948</v>
      </c>
      <c r="C788" t="s">
        <v>815</v>
      </c>
      <c r="D788" t="s">
        <v>13</v>
      </c>
      <c r="E788">
        <v>41</v>
      </c>
      <c r="F788" t="s">
        <v>20</v>
      </c>
      <c r="G788">
        <v>1</v>
      </c>
      <c r="H788">
        <v>25</v>
      </c>
      <c r="I788">
        <f t="shared" si="24"/>
        <v>25</v>
      </c>
      <c r="J788" s="4">
        <f t="shared" si="25"/>
        <v>0.375</v>
      </c>
      <c r="K788" t="str">
        <f>IF(RetailSales[[#This Row],[Age]]&lt;30,"Young Adult",IF(RetailSales[[#This Row],[Age]]&lt;50,"Adult","Senior"))</f>
        <v>Adult</v>
      </c>
      <c r="L788" t="str">
        <f>_xlfn.CONCAT(I788,"_",RetailSales[[#This Row],[Product Category]])</f>
        <v>25_Electronics</v>
      </c>
    </row>
    <row r="789" spans="1:12">
      <c r="A789">
        <v>788</v>
      </c>
      <c r="B789">
        <v>45104</v>
      </c>
      <c r="C789" t="s">
        <v>816</v>
      </c>
      <c r="D789" t="s">
        <v>17</v>
      </c>
      <c r="E789">
        <v>52</v>
      </c>
      <c r="F789" t="s">
        <v>14</v>
      </c>
      <c r="G789">
        <v>3</v>
      </c>
      <c r="H789">
        <v>300</v>
      </c>
      <c r="I789">
        <f t="shared" si="24"/>
        <v>900</v>
      </c>
      <c r="J789" s="4">
        <f t="shared" si="25"/>
        <v>13.5</v>
      </c>
      <c r="K789" t="str">
        <f>IF(RetailSales[[#This Row],[Age]]&lt;30,"Young Adult",IF(RetailSales[[#This Row],[Age]]&lt;50,"Adult","Senior"))</f>
        <v>Senior</v>
      </c>
      <c r="L789" t="str">
        <f>_xlfn.CONCAT(I789,"_",RetailSales[[#This Row],[Product Category]])</f>
        <v>900_Beauty</v>
      </c>
    </row>
    <row r="790" spans="1:12">
      <c r="A790">
        <v>789</v>
      </c>
      <c r="B790">
        <v>45199</v>
      </c>
      <c r="C790" t="s">
        <v>817</v>
      </c>
      <c r="D790" t="s">
        <v>17</v>
      </c>
      <c r="E790">
        <v>61</v>
      </c>
      <c r="F790" t="s">
        <v>18</v>
      </c>
      <c r="G790">
        <v>4</v>
      </c>
      <c r="H790">
        <v>500</v>
      </c>
      <c r="I790">
        <f t="shared" si="24"/>
        <v>2000</v>
      </c>
      <c r="J790" s="4">
        <f t="shared" si="25"/>
        <v>30</v>
      </c>
      <c r="K790" t="str">
        <f>IF(RetailSales[[#This Row],[Age]]&lt;30,"Young Adult",IF(RetailSales[[#This Row],[Age]]&lt;50,"Adult","Senior"))</f>
        <v>Senior</v>
      </c>
      <c r="L790" t="str">
        <f>_xlfn.CONCAT(I790,"_",RetailSales[[#This Row],[Product Category]])</f>
        <v>2000_Clothing</v>
      </c>
    </row>
    <row r="791" spans="1:12">
      <c r="A791">
        <v>790</v>
      </c>
      <c r="B791">
        <v>45146</v>
      </c>
      <c r="C791" t="s">
        <v>818</v>
      </c>
      <c r="D791" t="s">
        <v>13</v>
      </c>
      <c r="E791">
        <v>62</v>
      </c>
      <c r="F791" t="s">
        <v>18</v>
      </c>
      <c r="G791">
        <v>1</v>
      </c>
      <c r="H791">
        <v>25</v>
      </c>
      <c r="I791">
        <f t="shared" si="24"/>
        <v>25</v>
      </c>
      <c r="J791" s="4">
        <f t="shared" si="25"/>
        <v>0.375</v>
      </c>
      <c r="K791" t="str">
        <f>IF(RetailSales[[#This Row],[Age]]&lt;30,"Young Adult",IF(RetailSales[[#This Row],[Age]]&lt;50,"Adult","Senior"))</f>
        <v>Senior</v>
      </c>
      <c r="L791" t="str">
        <f>_xlfn.CONCAT(I791,"_",RetailSales[[#This Row],[Product Category]])</f>
        <v>25_Clothing</v>
      </c>
    </row>
    <row r="792" spans="1:12">
      <c r="A792">
        <v>791</v>
      </c>
      <c r="B792">
        <v>45265</v>
      </c>
      <c r="C792" t="s">
        <v>819</v>
      </c>
      <c r="D792" t="s">
        <v>17</v>
      </c>
      <c r="E792">
        <v>51</v>
      </c>
      <c r="F792" t="s">
        <v>14</v>
      </c>
      <c r="G792">
        <v>1</v>
      </c>
      <c r="H792">
        <v>25</v>
      </c>
      <c r="I792">
        <f t="shared" si="24"/>
        <v>25</v>
      </c>
      <c r="J792" s="4">
        <f t="shared" si="25"/>
        <v>0.375</v>
      </c>
      <c r="K792" t="str">
        <f>IF(RetailSales[[#This Row],[Age]]&lt;30,"Young Adult",IF(RetailSales[[#This Row],[Age]]&lt;50,"Adult","Senior"))</f>
        <v>Senior</v>
      </c>
      <c r="L792" t="str">
        <f>_xlfn.CONCAT(I792,"_",RetailSales[[#This Row],[Product Category]])</f>
        <v>25_Beauty</v>
      </c>
    </row>
    <row r="793" spans="1:12">
      <c r="A793">
        <v>792</v>
      </c>
      <c r="B793">
        <v>45116</v>
      </c>
      <c r="C793" t="s">
        <v>820</v>
      </c>
      <c r="D793" t="s">
        <v>17</v>
      </c>
      <c r="E793">
        <v>20</v>
      </c>
      <c r="F793" t="s">
        <v>14</v>
      </c>
      <c r="G793">
        <v>1</v>
      </c>
      <c r="H793">
        <v>50</v>
      </c>
      <c r="I793">
        <f t="shared" si="24"/>
        <v>50</v>
      </c>
      <c r="J793" s="4">
        <f t="shared" si="25"/>
        <v>0.75</v>
      </c>
      <c r="K793" t="str">
        <f>IF(RetailSales[[#This Row],[Age]]&lt;30,"Young Adult",IF(RetailSales[[#This Row],[Age]]&lt;50,"Adult","Senior"))</f>
        <v>Young Adult</v>
      </c>
      <c r="L793" t="str">
        <f>_xlfn.CONCAT(I793,"_",RetailSales[[#This Row],[Product Category]])</f>
        <v>50_Beauty</v>
      </c>
    </row>
    <row r="794" spans="1:12">
      <c r="A794">
        <v>793</v>
      </c>
      <c r="B794">
        <v>44962</v>
      </c>
      <c r="C794" t="s">
        <v>821</v>
      </c>
      <c r="D794" t="s">
        <v>13</v>
      </c>
      <c r="E794">
        <v>54</v>
      </c>
      <c r="F794" t="s">
        <v>14</v>
      </c>
      <c r="G794">
        <v>1</v>
      </c>
      <c r="H794">
        <v>30</v>
      </c>
      <c r="I794">
        <f t="shared" si="24"/>
        <v>30</v>
      </c>
      <c r="J794" s="4">
        <f t="shared" si="25"/>
        <v>0.44999999999999996</v>
      </c>
      <c r="K794" t="str">
        <f>IF(RetailSales[[#This Row],[Age]]&lt;30,"Young Adult",IF(RetailSales[[#This Row],[Age]]&lt;50,"Adult","Senior"))</f>
        <v>Senior</v>
      </c>
      <c r="L794" t="str">
        <f>_xlfn.CONCAT(I794,"_",RetailSales[[#This Row],[Product Category]])</f>
        <v>30_Beauty</v>
      </c>
    </row>
    <row r="795" spans="1:12">
      <c r="A795">
        <v>794</v>
      </c>
      <c r="B795">
        <v>45186</v>
      </c>
      <c r="C795" t="s">
        <v>822</v>
      </c>
      <c r="D795" t="s">
        <v>17</v>
      </c>
      <c r="E795">
        <v>60</v>
      </c>
      <c r="F795" t="s">
        <v>14</v>
      </c>
      <c r="G795">
        <v>1</v>
      </c>
      <c r="H795">
        <v>300</v>
      </c>
      <c r="I795">
        <f t="shared" si="24"/>
        <v>300</v>
      </c>
      <c r="J795" s="4">
        <f t="shared" si="25"/>
        <v>4.5</v>
      </c>
      <c r="K795" t="str">
        <f>IF(RetailSales[[#This Row],[Age]]&lt;30,"Young Adult",IF(RetailSales[[#This Row],[Age]]&lt;50,"Adult","Senior"))</f>
        <v>Senior</v>
      </c>
      <c r="L795" t="str">
        <f>_xlfn.CONCAT(I795,"_",RetailSales[[#This Row],[Product Category]])</f>
        <v>300_Beauty</v>
      </c>
    </row>
    <row r="796" spans="1:12">
      <c r="A796">
        <v>795</v>
      </c>
      <c r="B796">
        <v>45258</v>
      </c>
      <c r="C796" t="s">
        <v>823</v>
      </c>
      <c r="D796" t="s">
        <v>13</v>
      </c>
      <c r="E796">
        <v>57</v>
      </c>
      <c r="F796" t="s">
        <v>20</v>
      </c>
      <c r="G796">
        <v>1</v>
      </c>
      <c r="H796">
        <v>300</v>
      </c>
      <c r="I796">
        <f t="shared" si="24"/>
        <v>300</v>
      </c>
      <c r="J796" s="4">
        <f t="shared" si="25"/>
        <v>4.5</v>
      </c>
      <c r="K796" t="str">
        <f>IF(RetailSales[[#This Row],[Age]]&lt;30,"Young Adult",IF(RetailSales[[#This Row],[Age]]&lt;50,"Adult","Senior"))</f>
        <v>Senior</v>
      </c>
      <c r="L796" t="str">
        <f>_xlfn.CONCAT(I796,"_",RetailSales[[#This Row],[Product Category]])</f>
        <v>300_Electronics</v>
      </c>
    </row>
    <row r="797" spans="1:12">
      <c r="A797">
        <v>796</v>
      </c>
      <c r="B797">
        <v>45101</v>
      </c>
      <c r="C797" t="s">
        <v>824</v>
      </c>
      <c r="D797" t="s">
        <v>13</v>
      </c>
      <c r="E797">
        <v>43</v>
      </c>
      <c r="F797" t="s">
        <v>14</v>
      </c>
      <c r="G797">
        <v>4</v>
      </c>
      <c r="H797">
        <v>30</v>
      </c>
      <c r="I797">
        <f t="shared" si="24"/>
        <v>120</v>
      </c>
      <c r="J797" s="4">
        <f t="shared" si="25"/>
        <v>1.7999999999999998</v>
      </c>
      <c r="K797" t="str">
        <f>IF(RetailSales[[#This Row],[Age]]&lt;30,"Young Adult",IF(RetailSales[[#This Row],[Age]]&lt;50,"Adult","Senior"))</f>
        <v>Adult</v>
      </c>
      <c r="L797" t="str">
        <f>_xlfn.CONCAT(I797,"_",RetailSales[[#This Row],[Product Category]])</f>
        <v>120_Beauty</v>
      </c>
    </row>
    <row r="798" spans="1:12">
      <c r="A798">
        <v>797</v>
      </c>
      <c r="B798">
        <v>44933</v>
      </c>
      <c r="C798" t="s">
        <v>825</v>
      </c>
      <c r="D798" t="s">
        <v>13</v>
      </c>
      <c r="E798">
        <v>40</v>
      </c>
      <c r="F798" t="s">
        <v>18</v>
      </c>
      <c r="G798">
        <v>3</v>
      </c>
      <c r="H798">
        <v>25</v>
      </c>
      <c r="I798">
        <f t="shared" si="24"/>
        <v>75</v>
      </c>
      <c r="J798" s="4">
        <f t="shared" si="25"/>
        <v>1.125</v>
      </c>
      <c r="K798" t="str">
        <f>IF(RetailSales[[#This Row],[Age]]&lt;30,"Young Adult",IF(RetailSales[[#This Row],[Age]]&lt;50,"Adult","Senior"))</f>
        <v>Adult</v>
      </c>
      <c r="L798" t="str">
        <f>_xlfn.CONCAT(I798,"_",RetailSales[[#This Row],[Product Category]])</f>
        <v>75_Clothing</v>
      </c>
    </row>
    <row r="799" spans="1:12">
      <c r="A799">
        <v>798</v>
      </c>
      <c r="B799">
        <v>45142</v>
      </c>
      <c r="C799" t="s">
        <v>826</v>
      </c>
      <c r="D799" t="s">
        <v>13</v>
      </c>
      <c r="E799">
        <v>61</v>
      </c>
      <c r="F799" t="s">
        <v>18</v>
      </c>
      <c r="G799">
        <v>1</v>
      </c>
      <c r="H799">
        <v>50</v>
      </c>
      <c r="I799">
        <f t="shared" si="24"/>
        <v>50</v>
      </c>
      <c r="J799" s="4">
        <f t="shared" si="25"/>
        <v>0.75</v>
      </c>
      <c r="K799" t="str">
        <f>IF(RetailSales[[#This Row],[Age]]&lt;30,"Young Adult",IF(RetailSales[[#This Row],[Age]]&lt;50,"Adult","Senior"))</f>
        <v>Senior</v>
      </c>
      <c r="L799" t="str">
        <f>_xlfn.CONCAT(I799,"_",RetailSales[[#This Row],[Product Category]])</f>
        <v>50_Clothing</v>
      </c>
    </row>
    <row r="800" spans="1:12">
      <c r="A800">
        <v>799</v>
      </c>
      <c r="B800">
        <v>45177</v>
      </c>
      <c r="C800" t="s">
        <v>827</v>
      </c>
      <c r="D800" t="s">
        <v>13</v>
      </c>
      <c r="E800">
        <v>56</v>
      </c>
      <c r="F800" t="s">
        <v>20</v>
      </c>
      <c r="G800">
        <v>2</v>
      </c>
      <c r="H800">
        <v>50</v>
      </c>
      <c r="I800">
        <f t="shared" si="24"/>
        <v>100</v>
      </c>
      <c r="J800" s="4">
        <f t="shared" si="25"/>
        <v>1.5</v>
      </c>
      <c r="K800" t="str">
        <f>IF(RetailSales[[#This Row],[Age]]&lt;30,"Young Adult",IF(RetailSales[[#This Row],[Age]]&lt;50,"Adult","Senior"))</f>
        <v>Senior</v>
      </c>
      <c r="L800" t="str">
        <f>_xlfn.CONCAT(I800,"_",RetailSales[[#This Row],[Product Category]])</f>
        <v>100_Electronics</v>
      </c>
    </row>
    <row r="801" spans="1:12">
      <c r="A801">
        <v>800</v>
      </c>
      <c r="B801">
        <v>44981</v>
      </c>
      <c r="C801" t="s">
        <v>828</v>
      </c>
      <c r="D801" t="s">
        <v>13</v>
      </c>
      <c r="E801">
        <v>32</v>
      </c>
      <c r="F801" t="s">
        <v>18</v>
      </c>
      <c r="G801">
        <v>4</v>
      </c>
      <c r="H801">
        <v>300</v>
      </c>
      <c r="I801">
        <f t="shared" si="24"/>
        <v>1200</v>
      </c>
      <c r="J801" s="4">
        <f t="shared" si="25"/>
        <v>18</v>
      </c>
      <c r="K801" t="str">
        <f>IF(RetailSales[[#This Row],[Age]]&lt;30,"Young Adult",IF(RetailSales[[#This Row],[Age]]&lt;50,"Adult","Senior"))</f>
        <v>Adult</v>
      </c>
      <c r="L801" t="str">
        <f>_xlfn.CONCAT(I801,"_",RetailSales[[#This Row],[Product Category]])</f>
        <v>1200_Clothing</v>
      </c>
    </row>
    <row r="802" spans="1:12">
      <c r="A802">
        <v>801</v>
      </c>
      <c r="B802">
        <v>45148</v>
      </c>
      <c r="C802" t="s">
        <v>829</v>
      </c>
      <c r="D802" t="s">
        <v>13</v>
      </c>
      <c r="E802">
        <v>21</v>
      </c>
      <c r="F802" t="s">
        <v>18</v>
      </c>
      <c r="G802">
        <v>4</v>
      </c>
      <c r="H802">
        <v>50</v>
      </c>
      <c r="I802">
        <f t="shared" si="24"/>
        <v>200</v>
      </c>
      <c r="J802" s="4">
        <f t="shared" si="25"/>
        <v>3</v>
      </c>
      <c r="K802" t="str">
        <f>IF(RetailSales[[#This Row],[Age]]&lt;30,"Young Adult",IF(RetailSales[[#This Row],[Age]]&lt;50,"Adult","Senior"))</f>
        <v>Young Adult</v>
      </c>
      <c r="L802" t="str">
        <f>_xlfn.CONCAT(I802,"_",RetailSales[[#This Row],[Product Category]])</f>
        <v>200_Clothing</v>
      </c>
    </row>
    <row r="803" spans="1:12">
      <c r="A803">
        <v>802</v>
      </c>
      <c r="B803">
        <v>45112</v>
      </c>
      <c r="C803" t="s">
        <v>830</v>
      </c>
      <c r="D803" t="s">
        <v>17</v>
      </c>
      <c r="E803">
        <v>46</v>
      </c>
      <c r="F803" t="s">
        <v>14</v>
      </c>
      <c r="G803">
        <v>1</v>
      </c>
      <c r="H803">
        <v>30</v>
      </c>
      <c r="I803">
        <f t="shared" si="24"/>
        <v>30</v>
      </c>
      <c r="J803" s="4">
        <f t="shared" si="25"/>
        <v>0.44999999999999996</v>
      </c>
      <c r="K803" t="str">
        <f>IF(RetailSales[[#This Row],[Age]]&lt;30,"Young Adult",IF(RetailSales[[#This Row],[Age]]&lt;50,"Adult","Senior"))</f>
        <v>Adult</v>
      </c>
      <c r="L803" t="str">
        <f>_xlfn.CONCAT(I803,"_",RetailSales[[#This Row],[Product Category]])</f>
        <v>30_Beauty</v>
      </c>
    </row>
    <row r="804" spans="1:12">
      <c r="A804">
        <v>803</v>
      </c>
      <c r="B804">
        <v>45252</v>
      </c>
      <c r="C804" t="s">
        <v>831</v>
      </c>
      <c r="D804" t="s">
        <v>13</v>
      </c>
      <c r="E804">
        <v>39</v>
      </c>
      <c r="F804" t="s">
        <v>18</v>
      </c>
      <c r="G804">
        <v>4</v>
      </c>
      <c r="H804">
        <v>25</v>
      </c>
      <c r="I804">
        <f t="shared" si="24"/>
        <v>100</v>
      </c>
      <c r="J804" s="4">
        <f t="shared" si="25"/>
        <v>1.5</v>
      </c>
      <c r="K804" t="str">
        <f>IF(RetailSales[[#This Row],[Age]]&lt;30,"Young Adult",IF(RetailSales[[#This Row],[Age]]&lt;50,"Adult","Senior"))</f>
        <v>Adult</v>
      </c>
      <c r="L804" t="str">
        <f>_xlfn.CONCAT(I804,"_",RetailSales[[#This Row],[Product Category]])</f>
        <v>100_Clothing</v>
      </c>
    </row>
    <row r="805" spans="1:12">
      <c r="A805">
        <v>804</v>
      </c>
      <c r="B805">
        <v>45162</v>
      </c>
      <c r="C805" t="s">
        <v>832</v>
      </c>
      <c r="D805" t="s">
        <v>13</v>
      </c>
      <c r="E805">
        <v>42</v>
      </c>
      <c r="F805" t="s">
        <v>20</v>
      </c>
      <c r="G805">
        <v>1</v>
      </c>
      <c r="H805">
        <v>30</v>
      </c>
      <c r="I805">
        <f t="shared" si="24"/>
        <v>30</v>
      </c>
      <c r="J805" s="4">
        <f t="shared" si="25"/>
        <v>0.44999999999999996</v>
      </c>
      <c r="K805" t="str">
        <f>IF(RetailSales[[#This Row],[Age]]&lt;30,"Young Adult",IF(RetailSales[[#This Row],[Age]]&lt;50,"Adult","Senior"))</f>
        <v>Adult</v>
      </c>
      <c r="L805" t="str">
        <f>_xlfn.CONCAT(I805,"_",RetailSales[[#This Row],[Product Category]])</f>
        <v>30_Electronics</v>
      </c>
    </row>
    <row r="806" spans="1:12">
      <c r="A806">
        <v>805</v>
      </c>
      <c r="B806">
        <v>45289</v>
      </c>
      <c r="C806" t="s">
        <v>833</v>
      </c>
      <c r="D806" t="s">
        <v>17</v>
      </c>
      <c r="E806">
        <v>30</v>
      </c>
      <c r="F806" t="s">
        <v>14</v>
      </c>
      <c r="G806">
        <v>3</v>
      </c>
      <c r="H806">
        <v>500</v>
      </c>
      <c r="I806">
        <f t="shared" si="24"/>
        <v>1500</v>
      </c>
      <c r="J806" s="4">
        <f t="shared" si="25"/>
        <v>22.5</v>
      </c>
      <c r="K806" t="str">
        <f>IF(RetailSales[[#This Row],[Age]]&lt;30,"Young Adult",IF(RetailSales[[#This Row],[Age]]&lt;50,"Adult","Senior"))</f>
        <v>Adult</v>
      </c>
      <c r="L806" t="str">
        <f>_xlfn.CONCAT(I806,"_",RetailSales[[#This Row],[Product Category]])</f>
        <v>1500_Beauty</v>
      </c>
    </row>
    <row r="807" spans="1:12">
      <c r="A807">
        <v>806</v>
      </c>
      <c r="B807">
        <v>45005</v>
      </c>
      <c r="C807" t="s">
        <v>834</v>
      </c>
      <c r="D807" t="s">
        <v>17</v>
      </c>
      <c r="E807">
        <v>35</v>
      </c>
      <c r="F807" t="s">
        <v>14</v>
      </c>
      <c r="G807">
        <v>3</v>
      </c>
      <c r="H807">
        <v>300</v>
      </c>
      <c r="I807">
        <f t="shared" si="24"/>
        <v>900</v>
      </c>
      <c r="J807" s="4">
        <f t="shared" si="25"/>
        <v>13.5</v>
      </c>
      <c r="K807" t="str">
        <f>IF(RetailSales[[#This Row],[Age]]&lt;30,"Young Adult",IF(RetailSales[[#This Row],[Age]]&lt;50,"Adult","Senior"))</f>
        <v>Adult</v>
      </c>
      <c r="L807" t="str">
        <f>_xlfn.CONCAT(I807,"_",RetailSales[[#This Row],[Product Category]])</f>
        <v>900_Beauty</v>
      </c>
    </row>
    <row r="808" spans="1:12">
      <c r="A808">
        <v>807</v>
      </c>
      <c r="B808">
        <v>45149</v>
      </c>
      <c r="C808" t="s">
        <v>835</v>
      </c>
      <c r="D808" t="s">
        <v>17</v>
      </c>
      <c r="E808">
        <v>50</v>
      </c>
      <c r="F808" t="s">
        <v>20</v>
      </c>
      <c r="G808">
        <v>4</v>
      </c>
      <c r="H808">
        <v>50</v>
      </c>
      <c r="I808">
        <f t="shared" si="24"/>
        <v>200</v>
      </c>
      <c r="J808" s="4">
        <f t="shared" si="25"/>
        <v>3</v>
      </c>
      <c r="K808" t="str">
        <f>IF(RetailSales[[#This Row],[Age]]&lt;30,"Young Adult",IF(RetailSales[[#This Row],[Age]]&lt;50,"Adult","Senior"))</f>
        <v>Senior</v>
      </c>
      <c r="L808" t="str">
        <f>_xlfn.CONCAT(I808,"_",RetailSales[[#This Row],[Product Category]])</f>
        <v>200_Electronics</v>
      </c>
    </row>
    <row r="809" spans="1:12">
      <c r="A809">
        <v>808</v>
      </c>
      <c r="B809">
        <v>45017</v>
      </c>
      <c r="C809" t="s">
        <v>836</v>
      </c>
      <c r="D809" t="s">
        <v>13</v>
      </c>
      <c r="E809">
        <v>33</v>
      </c>
      <c r="F809" t="s">
        <v>14</v>
      </c>
      <c r="G809">
        <v>4</v>
      </c>
      <c r="H809">
        <v>500</v>
      </c>
      <c r="I809">
        <f t="shared" si="24"/>
        <v>2000</v>
      </c>
      <c r="J809" s="4">
        <f t="shared" si="25"/>
        <v>30</v>
      </c>
      <c r="K809" t="str">
        <f>IF(RetailSales[[#This Row],[Age]]&lt;30,"Young Adult",IF(RetailSales[[#This Row],[Age]]&lt;50,"Adult","Senior"))</f>
        <v>Adult</v>
      </c>
      <c r="L809" t="str">
        <f>_xlfn.CONCAT(I809,"_",RetailSales[[#This Row],[Product Category]])</f>
        <v>2000_Beauty</v>
      </c>
    </row>
    <row r="810" spans="1:12">
      <c r="A810">
        <v>809</v>
      </c>
      <c r="B810">
        <v>45194</v>
      </c>
      <c r="C810" t="s">
        <v>837</v>
      </c>
      <c r="D810" t="s">
        <v>17</v>
      </c>
      <c r="E810">
        <v>62</v>
      </c>
      <c r="F810" t="s">
        <v>14</v>
      </c>
      <c r="G810">
        <v>2</v>
      </c>
      <c r="H810">
        <v>50</v>
      </c>
      <c r="I810">
        <f t="shared" si="24"/>
        <v>100</v>
      </c>
      <c r="J810" s="4">
        <f t="shared" si="25"/>
        <v>1.5</v>
      </c>
      <c r="K810" t="str">
        <f>IF(RetailSales[[#This Row],[Age]]&lt;30,"Young Adult",IF(RetailSales[[#This Row],[Age]]&lt;50,"Adult","Senior"))</f>
        <v>Senior</v>
      </c>
      <c r="L810" t="str">
        <f>_xlfn.CONCAT(I810,"_",RetailSales[[#This Row],[Product Category]])</f>
        <v>100_Beauty</v>
      </c>
    </row>
    <row r="811" spans="1:12">
      <c r="A811">
        <v>810</v>
      </c>
      <c r="B811">
        <v>45260</v>
      </c>
      <c r="C811" t="s">
        <v>838</v>
      </c>
      <c r="D811" t="s">
        <v>13</v>
      </c>
      <c r="E811">
        <v>59</v>
      </c>
      <c r="F811" t="s">
        <v>20</v>
      </c>
      <c r="G811">
        <v>4</v>
      </c>
      <c r="H811">
        <v>25</v>
      </c>
      <c r="I811">
        <f t="shared" si="24"/>
        <v>100</v>
      </c>
      <c r="J811" s="4">
        <f t="shared" si="25"/>
        <v>1.5</v>
      </c>
      <c r="K811" t="str">
        <f>IF(RetailSales[[#This Row],[Age]]&lt;30,"Young Adult",IF(RetailSales[[#This Row],[Age]]&lt;50,"Adult","Senior"))</f>
        <v>Senior</v>
      </c>
      <c r="L811" t="str">
        <f>_xlfn.CONCAT(I811,"_",RetailSales[[#This Row],[Product Category]])</f>
        <v>100_Electronics</v>
      </c>
    </row>
    <row r="812" spans="1:12">
      <c r="A812">
        <v>811</v>
      </c>
      <c r="B812">
        <v>45065</v>
      </c>
      <c r="C812" t="s">
        <v>839</v>
      </c>
      <c r="D812" t="s">
        <v>13</v>
      </c>
      <c r="E812">
        <v>61</v>
      </c>
      <c r="F812" t="s">
        <v>14</v>
      </c>
      <c r="G812">
        <v>2</v>
      </c>
      <c r="H812">
        <v>25</v>
      </c>
      <c r="I812">
        <f t="shared" si="24"/>
        <v>50</v>
      </c>
      <c r="J812" s="4">
        <f t="shared" si="25"/>
        <v>0.75</v>
      </c>
      <c r="K812" t="str">
        <f>IF(RetailSales[[#This Row],[Age]]&lt;30,"Young Adult",IF(RetailSales[[#This Row],[Age]]&lt;50,"Adult","Senior"))</f>
        <v>Senior</v>
      </c>
      <c r="L812" t="str">
        <f>_xlfn.CONCAT(I812,"_",RetailSales[[#This Row],[Product Category]])</f>
        <v>50_Beauty</v>
      </c>
    </row>
    <row r="813" spans="1:12">
      <c r="A813">
        <v>812</v>
      </c>
      <c r="B813">
        <v>45242</v>
      </c>
      <c r="C813" t="s">
        <v>840</v>
      </c>
      <c r="D813" t="s">
        <v>13</v>
      </c>
      <c r="E813">
        <v>19</v>
      </c>
      <c r="F813" t="s">
        <v>20</v>
      </c>
      <c r="G813">
        <v>3</v>
      </c>
      <c r="H813">
        <v>25</v>
      </c>
      <c r="I813">
        <f t="shared" si="24"/>
        <v>75</v>
      </c>
      <c r="J813" s="4">
        <f t="shared" si="25"/>
        <v>1.125</v>
      </c>
      <c r="K813" t="str">
        <f>IF(RetailSales[[#This Row],[Age]]&lt;30,"Young Adult",IF(RetailSales[[#This Row],[Age]]&lt;50,"Adult","Senior"))</f>
        <v>Young Adult</v>
      </c>
      <c r="L813" t="str">
        <f>_xlfn.CONCAT(I813,"_",RetailSales[[#This Row],[Product Category]])</f>
        <v>75_Electronics</v>
      </c>
    </row>
    <row r="814" spans="1:12">
      <c r="A814">
        <v>813</v>
      </c>
      <c r="B814">
        <v>45202</v>
      </c>
      <c r="C814" t="s">
        <v>841</v>
      </c>
      <c r="D814" t="s">
        <v>13</v>
      </c>
      <c r="E814">
        <v>52</v>
      </c>
      <c r="F814" t="s">
        <v>20</v>
      </c>
      <c r="G814">
        <v>3</v>
      </c>
      <c r="H814">
        <v>50</v>
      </c>
      <c r="I814">
        <f t="shared" si="24"/>
        <v>150</v>
      </c>
      <c r="J814" s="4">
        <f t="shared" si="25"/>
        <v>2.25</v>
      </c>
      <c r="K814" t="str">
        <f>IF(RetailSales[[#This Row],[Age]]&lt;30,"Young Adult",IF(RetailSales[[#This Row],[Age]]&lt;50,"Adult","Senior"))</f>
        <v>Senior</v>
      </c>
      <c r="L814" t="str">
        <f>_xlfn.CONCAT(I814,"_",RetailSales[[#This Row],[Product Category]])</f>
        <v>150_Electronics</v>
      </c>
    </row>
    <row r="815" spans="1:12">
      <c r="A815">
        <v>814</v>
      </c>
      <c r="B815">
        <v>45174</v>
      </c>
      <c r="C815" t="s">
        <v>842</v>
      </c>
      <c r="D815" t="s">
        <v>17</v>
      </c>
      <c r="E815">
        <v>59</v>
      </c>
      <c r="F815" t="s">
        <v>18</v>
      </c>
      <c r="G815">
        <v>1</v>
      </c>
      <c r="H815">
        <v>500</v>
      </c>
      <c r="I815">
        <f t="shared" si="24"/>
        <v>500</v>
      </c>
      <c r="J815" s="4">
        <f t="shared" si="25"/>
        <v>7.5</v>
      </c>
      <c r="K815" t="str">
        <f>IF(RetailSales[[#This Row],[Age]]&lt;30,"Young Adult",IF(RetailSales[[#This Row],[Age]]&lt;50,"Adult","Senior"))</f>
        <v>Senior</v>
      </c>
      <c r="L815" t="str">
        <f>_xlfn.CONCAT(I815,"_",RetailSales[[#This Row],[Product Category]])</f>
        <v>500_Clothing</v>
      </c>
    </row>
    <row r="816" spans="1:12">
      <c r="A816">
        <v>815</v>
      </c>
      <c r="B816">
        <v>45165</v>
      </c>
      <c r="C816" t="s">
        <v>843</v>
      </c>
      <c r="D816" t="s">
        <v>17</v>
      </c>
      <c r="E816">
        <v>51</v>
      </c>
      <c r="F816" t="s">
        <v>18</v>
      </c>
      <c r="G816">
        <v>3</v>
      </c>
      <c r="H816">
        <v>25</v>
      </c>
      <c r="I816">
        <f t="shared" si="24"/>
        <v>75</v>
      </c>
      <c r="J816" s="4">
        <f t="shared" si="25"/>
        <v>1.125</v>
      </c>
      <c r="K816" t="str">
        <f>IF(RetailSales[[#This Row],[Age]]&lt;30,"Young Adult",IF(RetailSales[[#This Row],[Age]]&lt;50,"Adult","Senior"))</f>
        <v>Senior</v>
      </c>
      <c r="L816" t="str">
        <f>_xlfn.CONCAT(I816,"_",RetailSales[[#This Row],[Product Category]])</f>
        <v>75_Clothing</v>
      </c>
    </row>
    <row r="817" spans="1:12">
      <c r="A817">
        <v>816</v>
      </c>
      <c r="B817">
        <v>45150</v>
      </c>
      <c r="C817" t="s">
        <v>844</v>
      </c>
      <c r="D817" t="s">
        <v>13</v>
      </c>
      <c r="E817">
        <v>47</v>
      </c>
      <c r="F817" t="s">
        <v>14</v>
      </c>
      <c r="G817">
        <v>2</v>
      </c>
      <c r="H817">
        <v>500</v>
      </c>
      <c r="I817">
        <f t="shared" si="24"/>
        <v>1000</v>
      </c>
      <c r="J817" s="4">
        <f t="shared" si="25"/>
        <v>15</v>
      </c>
      <c r="K817" t="str">
        <f>IF(RetailSales[[#This Row],[Age]]&lt;30,"Young Adult",IF(RetailSales[[#This Row],[Age]]&lt;50,"Adult","Senior"))</f>
        <v>Adult</v>
      </c>
      <c r="L817" t="str">
        <f>_xlfn.CONCAT(I817,"_",RetailSales[[#This Row],[Product Category]])</f>
        <v>1000_Beauty</v>
      </c>
    </row>
    <row r="818" spans="1:12">
      <c r="A818">
        <v>817</v>
      </c>
      <c r="B818">
        <v>45230</v>
      </c>
      <c r="C818" t="s">
        <v>845</v>
      </c>
      <c r="D818" t="s">
        <v>13</v>
      </c>
      <c r="E818">
        <v>30</v>
      </c>
      <c r="F818" t="s">
        <v>14</v>
      </c>
      <c r="G818">
        <v>4</v>
      </c>
      <c r="H818">
        <v>50</v>
      </c>
      <c r="I818">
        <f t="shared" si="24"/>
        <v>200</v>
      </c>
      <c r="J818" s="4">
        <f t="shared" si="25"/>
        <v>3</v>
      </c>
      <c r="K818" t="str">
        <f>IF(RetailSales[[#This Row],[Age]]&lt;30,"Young Adult",IF(RetailSales[[#This Row],[Age]]&lt;50,"Adult","Senior"))</f>
        <v>Adult</v>
      </c>
      <c r="L818" t="str">
        <f>_xlfn.CONCAT(I818,"_",RetailSales[[#This Row],[Product Category]])</f>
        <v>200_Beauty</v>
      </c>
    </row>
    <row r="819" spans="1:12">
      <c r="A819">
        <v>818</v>
      </c>
      <c r="B819">
        <v>45064</v>
      </c>
      <c r="C819" t="s">
        <v>846</v>
      </c>
      <c r="D819" t="s">
        <v>13</v>
      </c>
      <c r="E819">
        <v>30</v>
      </c>
      <c r="F819" t="s">
        <v>20</v>
      </c>
      <c r="G819">
        <v>1</v>
      </c>
      <c r="H819">
        <v>500</v>
      </c>
      <c r="I819">
        <f t="shared" si="24"/>
        <v>500</v>
      </c>
      <c r="J819" s="4">
        <f t="shared" si="25"/>
        <v>7.5</v>
      </c>
      <c r="K819" t="str">
        <f>IF(RetailSales[[#This Row],[Age]]&lt;30,"Young Adult",IF(RetailSales[[#This Row],[Age]]&lt;50,"Adult","Senior"))</f>
        <v>Adult</v>
      </c>
      <c r="L819" t="str">
        <f>_xlfn.CONCAT(I819,"_",RetailSales[[#This Row],[Product Category]])</f>
        <v>500_Electronics</v>
      </c>
    </row>
    <row r="820" spans="1:12">
      <c r="A820">
        <v>819</v>
      </c>
      <c r="B820">
        <v>45092</v>
      </c>
      <c r="C820" t="s">
        <v>847</v>
      </c>
      <c r="D820" t="s">
        <v>17</v>
      </c>
      <c r="E820">
        <v>35</v>
      </c>
      <c r="F820" t="s">
        <v>14</v>
      </c>
      <c r="G820">
        <v>2</v>
      </c>
      <c r="H820">
        <v>50</v>
      </c>
      <c r="I820">
        <f t="shared" si="24"/>
        <v>100</v>
      </c>
      <c r="J820" s="4">
        <f t="shared" si="25"/>
        <v>1.5</v>
      </c>
      <c r="K820" t="str">
        <f>IF(RetailSales[[#This Row],[Age]]&lt;30,"Young Adult",IF(RetailSales[[#This Row],[Age]]&lt;50,"Adult","Senior"))</f>
        <v>Adult</v>
      </c>
      <c r="L820" t="str">
        <f>_xlfn.CONCAT(I820,"_",RetailSales[[#This Row],[Product Category]])</f>
        <v>100_Beauty</v>
      </c>
    </row>
    <row r="821" spans="1:12">
      <c r="A821">
        <v>820</v>
      </c>
      <c r="B821">
        <v>45052</v>
      </c>
      <c r="C821" t="s">
        <v>848</v>
      </c>
      <c r="D821" t="s">
        <v>13</v>
      </c>
      <c r="E821">
        <v>49</v>
      </c>
      <c r="F821" t="s">
        <v>20</v>
      </c>
      <c r="G821">
        <v>4</v>
      </c>
      <c r="H821">
        <v>50</v>
      </c>
      <c r="I821">
        <f t="shared" si="24"/>
        <v>200</v>
      </c>
      <c r="J821" s="4">
        <f t="shared" si="25"/>
        <v>3</v>
      </c>
      <c r="K821" t="str">
        <f>IF(RetailSales[[#This Row],[Age]]&lt;30,"Young Adult",IF(RetailSales[[#This Row],[Age]]&lt;50,"Adult","Senior"))</f>
        <v>Adult</v>
      </c>
      <c r="L821" t="str">
        <f>_xlfn.CONCAT(I821,"_",RetailSales[[#This Row],[Product Category]])</f>
        <v>200_Electronics</v>
      </c>
    </row>
    <row r="822" spans="1:12">
      <c r="A822">
        <v>821</v>
      </c>
      <c r="B822">
        <v>44971</v>
      </c>
      <c r="C822" t="s">
        <v>849</v>
      </c>
      <c r="D822" t="s">
        <v>13</v>
      </c>
      <c r="E822">
        <v>49</v>
      </c>
      <c r="F822" t="s">
        <v>20</v>
      </c>
      <c r="G822">
        <v>1</v>
      </c>
      <c r="H822">
        <v>300</v>
      </c>
      <c r="I822">
        <f t="shared" si="24"/>
        <v>300</v>
      </c>
      <c r="J822" s="4">
        <f t="shared" si="25"/>
        <v>4.5</v>
      </c>
      <c r="K822" t="str">
        <f>IF(RetailSales[[#This Row],[Age]]&lt;30,"Young Adult",IF(RetailSales[[#This Row],[Age]]&lt;50,"Adult","Senior"))</f>
        <v>Adult</v>
      </c>
      <c r="L822" t="str">
        <f>_xlfn.CONCAT(I822,"_",RetailSales[[#This Row],[Product Category]])</f>
        <v>300_Electronics</v>
      </c>
    </row>
    <row r="823" spans="1:12">
      <c r="A823">
        <v>822</v>
      </c>
      <c r="B823">
        <v>45069</v>
      </c>
      <c r="C823" t="s">
        <v>850</v>
      </c>
      <c r="D823" t="s">
        <v>17</v>
      </c>
      <c r="E823">
        <v>52</v>
      </c>
      <c r="F823" t="s">
        <v>14</v>
      </c>
      <c r="G823">
        <v>3</v>
      </c>
      <c r="H823">
        <v>50</v>
      </c>
      <c r="I823">
        <f t="shared" si="24"/>
        <v>150</v>
      </c>
      <c r="J823" s="4">
        <f t="shared" si="25"/>
        <v>2.25</v>
      </c>
      <c r="K823" t="str">
        <f>IF(RetailSales[[#This Row],[Age]]&lt;30,"Young Adult",IF(RetailSales[[#This Row],[Age]]&lt;50,"Adult","Senior"))</f>
        <v>Senior</v>
      </c>
      <c r="L823" t="str">
        <f>_xlfn.CONCAT(I823,"_",RetailSales[[#This Row],[Product Category]])</f>
        <v>150_Beauty</v>
      </c>
    </row>
    <row r="824" spans="1:12">
      <c r="A824">
        <v>823</v>
      </c>
      <c r="B824">
        <v>45157</v>
      </c>
      <c r="C824" t="s">
        <v>851</v>
      </c>
      <c r="D824" t="s">
        <v>17</v>
      </c>
      <c r="E824">
        <v>56</v>
      </c>
      <c r="F824" t="s">
        <v>20</v>
      </c>
      <c r="G824">
        <v>2</v>
      </c>
      <c r="H824">
        <v>50</v>
      </c>
      <c r="I824">
        <f t="shared" si="24"/>
        <v>100</v>
      </c>
      <c r="J824" s="4">
        <f t="shared" si="25"/>
        <v>1.5</v>
      </c>
      <c r="K824" t="str">
        <f>IF(RetailSales[[#This Row],[Age]]&lt;30,"Young Adult",IF(RetailSales[[#This Row],[Age]]&lt;50,"Adult","Senior"))</f>
        <v>Senior</v>
      </c>
      <c r="L824" t="str">
        <f>_xlfn.CONCAT(I824,"_",RetailSales[[#This Row],[Product Category]])</f>
        <v>100_Electronics</v>
      </c>
    </row>
    <row r="825" spans="1:12">
      <c r="A825">
        <v>824</v>
      </c>
      <c r="B825">
        <v>45051</v>
      </c>
      <c r="C825" t="s">
        <v>852</v>
      </c>
      <c r="D825" t="s">
        <v>13</v>
      </c>
      <c r="E825">
        <v>63</v>
      </c>
      <c r="F825" t="s">
        <v>18</v>
      </c>
      <c r="G825">
        <v>4</v>
      </c>
      <c r="H825">
        <v>30</v>
      </c>
      <c r="I825">
        <f t="shared" si="24"/>
        <v>120</v>
      </c>
      <c r="J825" s="4">
        <f t="shared" si="25"/>
        <v>1.7999999999999998</v>
      </c>
      <c r="K825" t="str">
        <f>IF(RetailSales[[#This Row],[Age]]&lt;30,"Young Adult",IF(RetailSales[[#This Row],[Age]]&lt;50,"Adult","Senior"))</f>
        <v>Senior</v>
      </c>
      <c r="L825" t="str">
        <f>_xlfn.CONCAT(I825,"_",RetailSales[[#This Row],[Product Category]])</f>
        <v>120_Clothing</v>
      </c>
    </row>
    <row r="826" spans="1:12">
      <c r="A826">
        <v>825</v>
      </c>
      <c r="B826">
        <v>45164</v>
      </c>
      <c r="C826" t="s">
        <v>853</v>
      </c>
      <c r="D826" t="s">
        <v>17</v>
      </c>
      <c r="E826">
        <v>46</v>
      </c>
      <c r="F826" t="s">
        <v>14</v>
      </c>
      <c r="G826">
        <v>1</v>
      </c>
      <c r="H826">
        <v>25</v>
      </c>
      <c r="I826">
        <f t="shared" si="24"/>
        <v>25</v>
      </c>
      <c r="J826" s="4">
        <f t="shared" si="25"/>
        <v>0.375</v>
      </c>
      <c r="K826" t="str">
        <f>IF(RetailSales[[#This Row],[Age]]&lt;30,"Young Adult",IF(RetailSales[[#This Row],[Age]]&lt;50,"Adult","Senior"))</f>
        <v>Adult</v>
      </c>
      <c r="L826" t="str">
        <f>_xlfn.CONCAT(I826,"_",RetailSales[[#This Row],[Product Category]])</f>
        <v>25_Beauty</v>
      </c>
    </row>
    <row r="827" spans="1:12">
      <c r="A827">
        <v>826</v>
      </c>
      <c r="B827">
        <v>45218</v>
      </c>
      <c r="C827" t="s">
        <v>854</v>
      </c>
      <c r="D827" t="s">
        <v>17</v>
      </c>
      <c r="E827">
        <v>46</v>
      </c>
      <c r="F827" t="s">
        <v>18</v>
      </c>
      <c r="G827">
        <v>1</v>
      </c>
      <c r="H827">
        <v>300</v>
      </c>
      <c r="I827">
        <f t="shared" si="24"/>
        <v>300</v>
      </c>
      <c r="J827" s="4">
        <f t="shared" si="25"/>
        <v>4.5</v>
      </c>
      <c r="K827" t="str">
        <f>IF(RetailSales[[#This Row],[Age]]&lt;30,"Young Adult",IF(RetailSales[[#This Row],[Age]]&lt;50,"Adult","Senior"))</f>
        <v>Adult</v>
      </c>
      <c r="L827" t="str">
        <f>_xlfn.CONCAT(I827,"_",RetailSales[[#This Row],[Product Category]])</f>
        <v>300_Clothing</v>
      </c>
    </row>
    <row r="828" spans="1:12">
      <c r="A828">
        <v>827</v>
      </c>
      <c r="B828">
        <v>45239</v>
      </c>
      <c r="C828" t="s">
        <v>855</v>
      </c>
      <c r="D828" t="s">
        <v>13</v>
      </c>
      <c r="E828">
        <v>61</v>
      </c>
      <c r="F828" t="s">
        <v>14</v>
      </c>
      <c r="G828">
        <v>3</v>
      </c>
      <c r="H828">
        <v>300</v>
      </c>
      <c r="I828">
        <f t="shared" si="24"/>
        <v>900</v>
      </c>
      <c r="J828" s="4">
        <f t="shared" si="25"/>
        <v>13.5</v>
      </c>
      <c r="K828" t="str">
        <f>IF(RetailSales[[#This Row],[Age]]&lt;30,"Young Adult",IF(RetailSales[[#This Row],[Age]]&lt;50,"Adult","Senior"))</f>
        <v>Senior</v>
      </c>
      <c r="L828" t="str">
        <f>_xlfn.CONCAT(I828,"_",RetailSales[[#This Row],[Product Category]])</f>
        <v>900_Beauty</v>
      </c>
    </row>
    <row r="829" spans="1:12">
      <c r="A829">
        <v>828</v>
      </c>
      <c r="B829">
        <v>45269</v>
      </c>
      <c r="C829" t="s">
        <v>856</v>
      </c>
      <c r="D829" t="s">
        <v>17</v>
      </c>
      <c r="E829">
        <v>33</v>
      </c>
      <c r="F829" t="s">
        <v>20</v>
      </c>
      <c r="G829">
        <v>4</v>
      </c>
      <c r="H829">
        <v>300</v>
      </c>
      <c r="I829">
        <f t="shared" si="24"/>
        <v>1200</v>
      </c>
      <c r="J829" s="4">
        <f t="shared" si="25"/>
        <v>18</v>
      </c>
      <c r="K829" t="str">
        <f>IF(RetailSales[[#This Row],[Age]]&lt;30,"Young Adult",IF(RetailSales[[#This Row],[Age]]&lt;50,"Adult","Senior"))</f>
        <v>Adult</v>
      </c>
      <c r="L829" t="str">
        <f>_xlfn.CONCAT(I829,"_",RetailSales[[#This Row],[Product Category]])</f>
        <v>1200_Electronics</v>
      </c>
    </row>
    <row r="830" spans="1:12">
      <c r="A830">
        <v>829</v>
      </c>
      <c r="B830">
        <v>45121</v>
      </c>
      <c r="C830" t="s">
        <v>857</v>
      </c>
      <c r="D830" t="s">
        <v>13</v>
      </c>
      <c r="E830">
        <v>61</v>
      </c>
      <c r="F830" t="s">
        <v>14</v>
      </c>
      <c r="G830">
        <v>3</v>
      </c>
      <c r="H830">
        <v>30</v>
      </c>
      <c r="I830">
        <f t="shared" si="24"/>
        <v>90</v>
      </c>
      <c r="J830" s="4">
        <f t="shared" si="25"/>
        <v>1.3499999999999999</v>
      </c>
      <c r="K830" t="str">
        <f>IF(RetailSales[[#This Row],[Age]]&lt;30,"Young Adult",IF(RetailSales[[#This Row],[Age]]&lt;50,"Adult","Senior"))</f>
        <v>Senior</v>
      </c>
      <c r="L830" t="str">
        <f>_xlfn.CONCAT(I830,"_",RetailSales[[#This Row],[Product Category]])</f>
        <v>90_Beauty</v>
      </c>
    </row>
    <row r="831" spans="1:12">
      <c r="A831">
        <v>830</v>
      </c>
      <c r="B831">
        <v>45099</v>
      </c>
      <c r="C831" t="s">
        <v>858</v>
      </c>
      <c r="D831" t="s">
        <v>17</v>
      </c>
      <c r="E831">
        <v>64</v>
      </c>
      <c r="F831" t="s">
        <v>18</v>
      </c>
      <c r="G831">
        <v>3</v>
      </c>
      <c r="H831">
        <v>50</v>
      </c>
      <c r="I831">
        <f t="shared" si="24"/>
        <v>150</v>
      </c>
      <c r="J831" s="4">
        <f t="shared" si="25"/>
        <v>2.25</v>
      </c>
      <c r="K831" t="str">
        <f>IF(RetailSales[[#This Row],[Age]]&lt;30,"Young Adult",IF(RetailSales[[#This Row],[Age]]&lt;50,"Adult","Senior"))</f>
        <v>Senior</v>
      </c>
      <c r="L831" t="str">
        <f>_xlfn.CONCAT(I831,"_",RetailSales[[#This Row],[Product Category]])</f>
        <v>150_Clothing</v>
      </c>
    </row>
    <row r="832" spans="1:12">
      <c r="A832">
        <v>831</v>
      </c>
      <c r="B832">
        <v>44941</v>
      </c>
      <c r="C832" t="s">
        <v>859</v>
      </c>
      <c r="D832" t="s">
        <v>13</v>
      </c>
      <c r="E832">
        <v>27</v>
      </c>
      <c r="F832" t="s">
        <v>20</v>
      </c>
      <c r="G832">
        <v>4</v>
      </c>
      <c r="H832">
        <v>25</v>
      </c>
      <c r="I832">
        <f t="shared" si="24"/>
        <v>100</v>
      </c>
      <c r="J832" s="4">
        <f t="shared" si="25"/>
        <v>1.5</v>
      </c>
      <c r="K832" t="str">
        <f>IF(RetailSales[[#This Row],[Age]]&lt;30,"Young Adult",IF(RetailSales[[#This Row],[Age]]&lt;50,"Adult","Senior"))</f>
        <v>Young Adult</v>
      </c>
      <c r="L832" t="str">
        <f>_xlfn.CONCAT(I832,"_",RetailSales[[#This Row],[Product Category]])</f>
        <v>100_Electronics</v>
      </c>
    </row>
    <row r="833" spans="1:12">
      <c r="A833">
        <v>832</v>
      </c>
      <c r="B833">
        <v>45180</v>
      </c>
      <c r="C833" t="s">
        <v>860</v>
      </c>
      <c r="D833" t="s">
        <v>13</v>
      </c>
      <c r="E833">
        <v>47</v>
      </c>
      <c r="F833" t="s">
        <v>14</v>
      </c>
      <c r="G833">
        <v>4</v>
      </c>
      <c r="H833">
        <v>500</v>
      </c>
      <c r="I833">
        <f t="shared" si="24"/>
        <v>2000</v>
      </c>
      <c r="J833" s="4">
        <f t="shared" si="25"/>
        <v>30</v>
      </c>
      <c r="K833" t="str">
        <f>IF(RetailSales[[#This Row],[Age]]&lt;30,"Young Adult",IF(RetailSales[[#This Row],[Age]]&lt;50,"Adult","Senior"))</f>
        <v>Adult</v>
      </c>
      <c r="L833" t="str">
        <f>_xlfn.CONCAT(I833,"_",RetailSales[[#This Row],[Product Category]])</f>
        <v>2000_Beauty</v>
      </c>
    </row>
    <row r="834" spans="1:12">
      <c r="A834">
        <v>833</v>
      </c>
      <c r="B834">
        <v>45093</v>
      </c>
      <c r="C834" t="s">
        <v>861</v>
      </c>
      <c r="D834" t="s">
        <v>13</v>
      </c>
      <c r="E834">
        <v>42</v>
      </c>
      <c r="F834" t="s">
        <v>14</v>
      </c>
      <c r="G834">
        <v>4</v>
      </c>
      <c r="H834">
        <v>50</v>
      </c>
      <c r="I834">
        <f t="shared" si="24"/>
        <v>200</v>
      </c>
      <c r="J834" s="4">
        <f t="shared" si="25"/>
        <v>3</v>
      </c>
      <c r="K834" t="str">
        <f>IF(RetailSales[[#This Row],[Age]]&lt;30,"Young Adult",IF(RetailSales[[#This Row],[Age]]&lt;50,"Adult","Senior"))</f>
        <v>Adult</v>
      </c>
      <c r="L834" t="str">
        <f>_xlfn.CONCAT(I834,"_",RetailSales[[#This Row],[Product Category]])</f>
        <v>200_Beauty</v>
      </c>
    </row>
    <row r="835" spans="1:12">
      <c r="A835">
        <v>834</v>
      </c>
      <c r="B835">
        <v>45020</v>
      </c>
      <c r="C835" t="s">
        <v>862</v>
      </c>
      <c r="D835" t="s">
        <v>17</v>
      </c>
      <c r="E835">
        <v>56</v>
      </c>
      <c r="F835" t="s">
        <v>14</v>
      </c>
      <c r="G835">
        <v>2</v>
      </c>
      <c r="H835">
        <v>30</v>
      </c>
      <c r="I835">
        <f t="shared" ref="I835:I898" si="26">G835*H835</f>
        <v>60</v>
      </c>
      <c r="J835" s="4">
        <f t="shared" ref="J835:J898" si="27">I835*$O$3</f>
        <v>0.89999999999999991</v>
      </c>
      <c r="K835" t="str">
        <f>IF(RetailSales[[#This Row],[Age]]&lt;30,"Young Adult",IF(RetailSales[[#This Row],[Age]]&lt;50,"Adult","Senior"))</f>
        <v>Senior</v>
      </c>
      <c r="L835" t="str">
        <f>_xlfn.CONCAT(I835,"_",RetailSales[[#This Row],[Product Category]])</f>
        <v>60_Beauty</v>
      </c>
    </row>
    <row r="836" spans="1:12">
      <c r="A836">
        <v>835</v>
      </c>
      <c r="B836">
        <v>45176</v>
      </c>
      <c r="C836" t="s">
        <v>863</v>
      </c>
      <c r="D836" t="s">
        <v>13</v>
      </c>
      <c r="E836">
        <v>37</v>
      </c>
      <c r="F836" t="s">
        <v>18</v>
      </c>
      <c r="G836">
        <v>4</v>
      </c>
      <c r="H836">
        <v>50</v>
      </c>
      <c r="I836">
        <f t="shared" si="26"/>
        <v>200</v>
      </c>
      <c r="J836" s="4">
        <f t="shared" si="27"/>
        <v>3</v>
      </c>
      <c r="K836" t="str">
        <f>IF(RetailSales[[#This Row],[Age]]&lt;30,"Young Adult",IF(RetailSales[[#This Row],[Age]]&lt;50,"Adult","Senior"))</f>
        <v>Adult</v>
      </c>
      <c r="L836" t="str">
        <f>_xlfn.CONCAT(I836,"_",RetailSales[[#This Row],[Product Category]])</f>
        <v>200_Clothing</v>
      </c>
    </row>
    <row r="837" spans="1:12">
      <c r="A837">
        <v>836</v>
      </c>
      <c r="B837">
        <v>45035</v>
      </c>
      <c r="C837" t="s">
        <v>864</v>
      </c>
      <c r="D837" t="s">
        <v>17</v>
      </c>
      <c r="E837">
        <v>22</v>
      </c>
      <c r="F837" t="s">
        <v>18</v>
      </c>
      <c r="G837">
        <v>1</v>
      </c>
      <c r="H837">
        <v>50</v>
      </c>
      <c r="I837">
        <f t="shared" si="26"/>
        <v>50</v>
      </c>
      <c r="J837" s="4">
        <f t="shared" si="27"/>
        <v>0.75</v>
      </c>
      <c r="K837" t="str">
        <f>IF(RetailSales[[#This Row],[Age]]&lt;30,"Young Adult",IF(RetailSales[[#This Row],[Age]]&lt;50,"Adult","Senior"))</f>
        <v>Young Adult</v>
      </c>
      <c r="L837" t="str">
        <f>_xlfn.CONCAT(I837,"_",RetailSales[[#This Row],[Product Category]])</f>
        <v>50_Clothing</v>
      </c>
    </row>
    <row r="838" spans="1:12">
      <c r="A838">
        <v>837</v>
      </c>
      <c r="B838">
        <v>45108</v>
      </c>
      <c r="C838" t="s">
        <v>865</v>
      </c>
      <c r="D838" t="s">
        <v>13</v>
      </c>
      <c r="E838">
        <v>18</v>
      </c>
      <c r="F838" t="s">
        <v>14</v>
      </c>
      <c r="G838">
        <v>3</v>
      </c>
      <c r="H838">
        <v>30</v>
      </c>
      <c r="I838">
        <f t="shared" si="26"/>
        <v>90</v>
      </c>
      <c r="J838" s="4">
        <f t="shared" si="27"/>
        <v>1.3499999999999999</v>
      </c>
      <c r="K838" t="str">
        <f>IF(RetailSales[[#This Row],[Age]]&lt;30,"Young Adult",IF(RetailSales[[#This Row],[Age]]&lt;50,"Adult","Senior"))</f>
        <v>Young Adult</v>
      </c>
      <c r="L838" t="str">
        <f>_xlfn.CONCAT(I838,"_",RetailSales[[#This Row],[Product Category]])</f>
        <v>90_Beauty</v>
      </c>
    </row>
    <row r="839" spans="1:12">
      <c r="A839">
        <v>838</v>
      </c>
      <c r="B839">
        <v>45059</v>
      </c>
      <c r="C839" t="s">
        <v>866</v>
      </c>
      <c r="D839" t="s">
        <v>13</v>
      </c>
      <c r="E839">
        <v>47</v>
      </c>
      <c r="F839" t="s">
        <v>20</v>
      </c>
      <c r="G839">
        <v>2</v>
      </c>
      <c r="H839">
        <v>300</v>
      </c>
      <c r="I839">
        <f t="shared" si="26"/>
        <v>600</v>
      </c>
      <c r="J839" s="4">
        <f t="shared" si="27"/>
        <v>9</v>
      </c>
      <c r="K839" t="str">
        <f>IF(RetailSales[[#This Row],[Age]]&lt;30,"Young Adult",IF(RetailSales[[#This Row],[Age]]&lt;50,"Adult","Senior"))</f>
        <v>Adult</v>
      </c>
      <c r="L839" t="str">
        <f>_xlfn.CONCAT(I839,"_",RetailSales[[#This Row],[Product Category]])</f>
        <v>600_Electronics</v>
      </c>
    </row>
    <row r="840" spans="1:12">
      <c r="A840">
        <v>839</v>
      </c>
      <c r="B840">
        <v>45101</v>
      </c>
      <c r="C840" t="s">
        <v>867</v>
      </c>
      <c r="D840" t="s">
        <v>17</v>
      </c>
      <c r="E840">
        <v>20</v>
      </c>
      <c r="F840" t="s">
        <v>20</v>
      </c>
      <c r="G840">
        <v>4</v>
      </c>
      <c r="H840">
        <v>300</v>
      </c>
      <c r="I840">
        <f t="shared" si="26"/>
        <v>1200</v>
      </c>
      <c r="J840" s="4">
        <f t="shared" si="27"/>
        <v>18</v>
      </c>
      <c r="K840" t="str">
        <f>IF(RetailSales[[#This Row],[Age]]&lt;30,"Young Adult",IF(RetailSales[[#This Row],[Age]]&lt;50,"Adult","Senior"))</f>
        <v>Young Adult</v>
      </c>
      <c r="L840" t="str">
        <f>_xlfn.CONCAT(I840,"_",RetailSales[[#This Row],[Product Category]])</f>
        <v>1200_Electronics</v>
      </c>
    </row>
    <row r="841" spans="1:12">
      <c r="A841">
        <v>840</v>
      </c>
      <c r="B841">
        <v>45070</v>
      </c>
      <c r="C841" t="s">
        <v>868</v>
      </c>
      <c r="D841" t="s">
        <v>13</v>
      </c>
      <c r="E841">
        <v>62</v>
      </c>
      <c r="F841" t="s">
        <v>18</v>
      </c>
      <c r="G841">
        <v>2</v>
      </c>
      <c r="H841">
        <v>25</v>
      </c>
      <c r="I841">
        <f t="shared" si="26"/>
        <v>50</v>
      </c>
      <c r="J841" s="4">
        <f t="shared" si="27"/>
        <v>0.75</v>
      </c>
      <c r="K841" t="str">
        <f>IF(RetailSales[[#This Row],[Age]]&lt;30,"Young Adult",IF(RetailSales[[#This Row],[Age]]&lt;50,"Adult","Senior"))</f>
        <v>Senior</v>
      </c>
      <c r="L841" t="str">
        <f>_xlfn.CONCAT(I841,"_",RetailSales[[#This Row],[Product Category]])</f>
        <v>50_Clothing</v>
      </c>
    </row>
    <row r="842" spans="1:12">
      <c r="A842">
        <v>841</v>
      </c>
      <c r="B842">
        <v>45232</v>
      </c>
      <c r="C842" t="s">
        <v>869</v>
      </c>
      <c r="D842" t="s">
        <v>13</v>
      </c>
      <c r="E842">
        <v>31</v>
      </c>
      <c r="F842" t="s">
        <v>20</v>
      </c>
      <c r="G842">
        <v>4</v>
      </c>
      <c r="H842">
        <v>25</v>
      </c>
      <c r="I842">
        <f t="shared" si="26"/>
        <v>100</v>
      </c>
      <c r="J842" s="4">
        <f t="shared" si="27"/>
        <v>1.5</v>
      </c>
      <c r="K842" t="str">
        <f>IF(RetailSales[[#This Row],[Age]]&lt;30,"Young Adult",IF(RetailSales[[#This Row],[Age]]&lt;50,"Adult","Senior"))</f>
        <v>Adult</v>
      </c>
      <c r="L842" t="str">
        <f>_xlfn.CONCAT(I842,"_",RetailSales[[#This Row],[Product Category]])</f>
        <v>100_Electronics</v>
      </c>
    </row>
    <row r="843" spans="1:12">
      <c r="A843">
        <v>842</v>
      </c>
      <c r="B843">
        <v>45286</v>
      </c>
      <c r="C843" t="s">
        <v>870</v>
      </c>
      <c r="D843" t="s">
        <v>17</v>
      </c>
      <c r="E843">
        <v>47</v>
      </c>
      <c r="F843" t="s">
        <v>18</v>
      </c>
      <c r="G843">
        <v>2</v>
      </c>
      <c r="H843">
        <v>300</v>
      </c>
      <c r="I843">
        <f t="shared" si="26"/>
        <v>600</v>
      </c>
      <c r="J843" s="4">
        <f t="shared" si="27"/>
        <v>9</v>
      </c>
      <c r="K843" t="str">
        <f>IF(RetailSales[[#This Row],[Age]]&lt;30,"Young Adult",IF(RetailSales[[#This Row],[Age]]&lt;50,"Adult","Senior"))</f>
        <v>Adult</v>
      </c>
      <c r="L843" t="str">
        <f>_xlfn.CONCAT(I843,"_",RetailSales[[#This Row],[Product Category]])</f>
        <v>600_Clothing</v>
      </c>
    </row>
    <row r="844" spans="1:12">
      <c r="A844">
        <v>843</v>
      </c>
      <c r="B844">
        <v>45068</v>
      </c>
      <c r="C844" t="s">
        <v>871</v>
      </c>
      <c r="D844" t="s">
        <v>13</v>
      </c>
      <c r="E844">
        <v>21</v>
      </c>
      <c r="F844" t="s">
        <v>14</v>
      </c>
      <c r="G844">
        <v>3</v>
      </c>
      <c r="H844">
        <v>500</v>
      </c>
      <c r="I844">
        <f t="shared" si="26"/>
        <v>1500</v>
      </c>
      <c r="J844" s="4">
        <f t="shared" si="27"/>
        <v>22.5</v>
      </c>
      <c r="K844" t="str">
        <f>IF(RetailSales[[#This Row],[Age]]&lt;30,"Young Adult",IF(RetailSales[[#This Row],[Age]]&lt;50,"Adult","Senior"))</f>
        <v>Young Adult</v>
      </c>
      <c r="L844" t="str">
        <f>_xlfn.CONCAT(I844,"_",RetailSales[[#This Row],[Product Category]])</f>
        <v>1500_Beauty</v>
      </c>
    </row>
    <row r="845" spans="1:12">
      <c r="A845">
        <v>844</v>
      </c>
      <c r="B845">
        <v>45211</v>
      </c>
      <c r="C845" t="s">
        <v>872</v>
      </c>
      <c r="D845" t="s">
        <v>13</v>
      </c>
      <c r="E845">
        <v>35</v>
      </c>
      <c r="F845" t="s">
        <v>18</v>
      </c>
      <c r="G845">
        <v>3</v>
      </c>
      <c r="H845">
        <v>50</v>
      </c>
      <c r="I845">
        <f t="shared" si="26"/>
        <v>150</v>
      </c>
      <c r="J845" s="4">
        <f t="shared" si="27"/>
        <v>2.25</v>
      </c>
      <c r="K845" t="str">
        <f>IF(RetailSales[[#This Row],[Age]]&lt;30,"Young Adult",IF(RetailSales[[#This Row],[Age]]&lt;50,"Adult","Senior"))</f>
        <v>Adult</v>
      </c>
      <c r="L845" t="str">
        <f>_xlfn.CONCAT(I845,"_",RetailSales[[#This Row],[Product Category]])</f>
        <v>150_Clothing</v>
      </c>
    </row>
    <row r="846" spans="1:12">
      <c r="A846">
        <v>845</v>
      </c>
      <c r="B846">
        <v>44932</v>
      </c>
      <c r="C846" t="s">
        <v>873</v>
      </c>
      <c r="D846" t="s">
        <v>13</v>
      </c>
      <c r="E846">
        <v>54</v>
      </c>
      <c r="F846" t="s">
        <v>18</v>
      </c>
      <c r="G846">
        <v>1</v>
      </c>
      <c r="H846">
        <v>500</v>
      </c>
      <c r="I846">
        <f t="shared" si="26"/>
        <v>500</v>
      </c>
      <c r="J846" s="4">
        <f t="shared" si="27"/>
        <v>7.5</v>
      </c>
      <c r="K846" t="str">
        <f>IF(RetailSales[[#This Row],[Age]]&lt;30,"Young Adult",IF(RetailSales[[#This Row],[Age]]&lt;50,"Adult","Senior"))</f>
        <v>Senior</v>
      </c>
      <c r="L846" t="str">
        <f>_xlfn.CONCAT(I846,"_",RetailSales[[#This Row],[Product Category]])</f>
        <v>500_Clothing</v>
      </c>
    </row>
    <row r="847" spans="1:12">
      <c r="A847">
        <v>846</v>
      </c>
      <c r="B847">
        <v>45191</v>
      </c>
      <c r="C847" t="s">
        <v>874</v>
      </c>
      <c r="D847" t="s">
        <v>13</v>
      </c>
      <c r="E847">
        <v>42</v>
      </c>
      <c r="F847" t="s">
        <v>14</v>
      </c>
      <c r="G847">
        <v>1</v>
      </c>
      <c r="H847">
        <v>50</v>
      </c>
      <c r="I847">
        <f t="shared" si="26"/>
        <v>50</v>
      </c>
      <c r="J847" s="4">
        <f t="shared" si="27"/>
        <v>0.75</v>
      </c>
      <c r="K847" t="str">
        <f>IF(RetailSales[[#This Row],[Age]]&lt;30,"Young Adult",IF(RetailSales[[#This Row],[Age]]&lt;50,"Adult","Senior"))</f>
        <v>Adult</v>
      </c>
      <c r="L847" t="str">
        <f>_xlfn.CONCAT(I847,"_",RetailSales[[#This Row],[Product Category]])</f>
        <v>50_Beauty</v>
      </c>
    </row>
    <row r="848" spans="1:12">
      <c r="A848">
        <v>847</v>
      </c>
      <c r="B848">
        <v>45024</v>
      </c>
      <c r="C848" t="s">
        <v>875</v>
      </c>
      <c r="D848" t="s">
        <v>17</v>
      </c>
      <c r="E848">
        <v>18</v>
      </c>
      <c r="F848" t="s">
        <v>20</v>
      </c>
      <c r="G848">
        <v>4</v>
      </c>
      <c r="H848">
        <v>300</v>
      </c>
      <c r="I848">
        <f t="shared" si="26"/>
        <v>1200</v>
      </c>
      <c r="J848" s="4">
        <f t="shared" si="27"/>
        <v>18</v>
      </c>
      <c r="K848" t="str">
        <f>IF(RetailSales[[#This Row],[Age]]&lt;30,"Young Adult",IF(RetailSales[[#This Row],[Age]]&lt;50,"Adult","Senior"))</f>
        <v>Young Adult</v>
      </c>
      <c r="L848" t="str">
        <f>_xlfn.CONCAT(I848,"_",RetailSales[[#This Row],[Product Category]])</f>
        <v>1200_Electronics</v>
      </c>
    </row>
    <row r="849" spans="1:12">
      <c r="A849">
        <v>848</v>
      </c>
      <c r="B849">
        <v>44970</v>
      </c>
      <c r="C849" t="s">
        <v>876</v>
      </c>
      <c r="D849" t="s">
        <v>17</v>
      </c>
      <c r="E849">
        <v>63</v>
      </c>
      <c r="F849" t="s">
        <v>18</v>
      </c>
      <c r="G849">
        <v>3</v>
      </c>
      <c r="H849">
        <v>25</v>
      </c>
      <c r="I849">
        <f t="shared" si="26"/>
        <v>75</v>
      </c>
      <c r="J849" s="4">
        <f t="shared" si="27"/>
        <v>1.125</v>
      </c>
      <c r="K849" t="str">
        <f>IF(RetailSales[[#This Row],[Age]]&lt;30,"Young Adult",IF(RetailSales[[#This Row],[Age]]&lt;50,"Adult","Senior"))</f>
        <v>Senior</v>
      </c>
      <c r="L849" t="str">
        <f>_xlfn.CONCAT(I849,"_",RetailSales[[#This Row],[Product Category]])</f>
        <v>75_Clothing</v>
      </c>
    </row>
    <row r="850" spans="1:12">
      <c r="A850">
        <v>849</v>
      </c>
      <c r="B850">
        <v>45050</v>
      </c>
      <c r="C850" t="s">
        <v>877</v>
      </c>
      <c r="D850" t="s">
        <v>13</v>
      </c>
      <c r="E850">
        <v>32</v>
      </c>
      <c r="F850" t="s">
        <v>18</v>
      </c>
      <c r="G850">
        <v>2</v>
      </c>
      <c r="H850">
        <v>25</v>
      </c>
      <c r="I850">
        <f t="shared" si="26"/>
        <v>50</v>
      </c>
      <c r="J850" s="4">
        <f t="shared" si="27"/>
        <v>0.75</v>
      </c>
      <c r="K850" t="str">
        <f>IF(RetailSales[[#This Row],[Age]]&lt;30,"Young Adult",IF(RetailSales[[#This Row],[Age]]&lt;50,"Adult","Senior"))</f>
        <v>Adult</v>
      </c>
      <c r="L850" t="str">
        <f>_xlfn.CONCAT(I850,"_",RetailSales[[#This Row],[Product Category]])</f>
        <v>50_Clothing</v>
      </c>
    </row>
    <row r="851" spans="1:12">
      <c r="A851">
        <v>850</v>
      </c>
      <c r="B851">
        <v>45135</v>
      </c>
      <c r="C851" t="s">
        <v>878</v>
      </c>
      <c r="D851" t="s">
        <v>17</v>
      </c>
      <c r="E851">
        <v>26</v>
      </c>
      <c r="F851" t="s">
        <v>14</v>
      </c>
      <c r="G851">
        <v>2</v>
      </c>
      <c r="H851">
        <v>500</v>
      </c>
      <c r="I851">
        <f t="shared" si="26"/>
        <v>1000</v>
      </c>
      <c r="J851" s="4">
        <f t="shared" si="27"/>
        <v>15</v>
      </c>
      <c r="K851" t="str">
        <f>IF(RetailSales[[#This Row],[Age]]&lt;30,"Young Adult",IF(RetailSales[[#This Row],[Age]]&lt;50,"Adult","Senior"))</f>
        <v>Young Adult</v>
      </c>
      <c r="L851" t="str">
        <f>_xlfn.CONCAT(I851,"_",RetailSales[[#This Row],[Product Category]])</f>
        <v>1000_Beauty</v>
      </c>
    </row>
    <row r="852" spans="1:12">
      <c r="A852">
        <v>851</v>
      </c>
      <c r="B852">
        <v>45177</v>
      </c>
      <c r="C852" t="s">
        <v>879</v>
      </c>
      <c r="D852" t="s">
        <v>13</v>
      </c>
      <c r="E852">
        <v>32</v>
      </c>
      <c r="F852" t="s">
        <v>20</v>
      </c>
      <c r="G852">
        <v>2</v>
      </c>
      <c r="H852">
        <v>25</v>
      </c>
      <c r="I852">
        <f t="shared" si="26"/>
        <v>50</v>
      </c>
      <c r="J852" s="4">
        <f t="shared" si="27"/>
        <v>0.75</v>
      </c>
      <c r="K852" t="str">
        <f>IF(RetailSales[[#This Row],[Age]]&lt;30,"Young Adult",IF(RetailSales[[#This Row],[Age]]&lt;50,"Adult","Senior"))</f>
        <v>Adult</v>
      </c>
      <c r="L852" t="str">
        <f>_xlfn.CONCAT(I852,"_",RetailSales[[#This Row],[Product Category]])</f>
        <v>50_Electronics</v>
      </c>
    </row>
    <row r="853" spans="1:12">
      <c r="A853">
        <v>852</v>
      </c>
      <c r="B853">
        <v>45211</v>
      </c>
      <c r="C853" t="s">
        <v>880</v>
      </c>
      <c r="D853" t="s">
        <v>17</v>
      </c>
      <c r="E853">
        <v>41</v>
      </c>
      <c r="F853" t="s">
        <v>18</v>
      </c>
      <c r="G853">
        <v>1</v>
      </c>
      <c r="H853">
        <v>300</v>
      </c>
      <c r="I853">
        <f t="shared" si="26"/>
        <v>300</v>
      </c>
      <c r="J853" s="4">
        <f t="shared" si="27"/>
        <v>4.5</v>
      </c>
      <c r="K853" t="str">
        <f>IF(RetailSales[[#This Row],[Age]]&lt;30,"Young Adult",IF(RetailSales[[#This Row],[Age]]&lt;50,"Adult","Senior"))</f>
        <v>Adult</v>
      </c>
      <c r="L853" t="str">
        <f>_xlfn.CONCAT(I853,"_",RetailSales[[#This Row],[Product Category]])</f>
        <v>300_Clothing</v>
      </c>
    </row>
    <row r="854" spans="1:12">
      <c r="A854">
        <v>853</v>
      </c>
      <c r="B854">
        <v>45050</v>
      </c>
      <c r="C854" t="s">
        <v>881</v>
      </c>
      <c r="D854" t="s">
        <v>13</v>
      </c>
      <c r="E854">
        <v>21</v>
      </c>
      <c r="F854" t="s">
        <v>14</v>
      </c>
      <c r="G854">
        <v>2</v>
      </c>
      <c r="H854">
        <v>500</v>
      </c>
      <c r="I854">
        <f t="shared" si="26"/>
        <v>1000</v>
      </c>
      <c r="J854" s="4">
        <f t="shared" si="27"/>
        <v>15</v>
      </c>
      <c r="K854" t="str">
        <f>IF(RetailSales[[#This Row],[Age]]&lt;30,"Young Adult",IF(RetailSales[[#This Row],[Age]]&lt;50,"Adult","Senior"))</f>
        <v>Young Adult</v>
      </c>
      <c r="L854" t="str">
        <f>_xlfn.CONCAT(I854,"_",RetailSales[[#This Row],[Product Category]])</f>
        <v>1000_Beauty</v>
      </c>
    </row>
    <row r="855" spans="1:12">
      <c r="A855">
        <v>854</v>
      </c>
      <c r="B855">
        <v>45280</v>
      </c>
      <c r="C855" t="s">
        <v>882</v>
      </c>
      <c r="D855" t="s">
        <v>13</v>
      </c>
      <c r="E855">
        <v>29</v>
      </c>
      <c r="F855" t="s">
        <v>18</v>
      </c>
      <c r="G855">
        <v>1</v>
      </c>
      <c r="H855">
        <v>50</v>
      </c>
      <c r="I855">
        <f t="shared" si="26"/>
        <v>50</v>
      </c>
      <c r="J855" s="4">
        <f t="shared" si="27"/>
        <v>0.75</v>
      </c>
      <c r="K855" t="str">
        <f>IF(RetailSales[[#This Row],[Age]]&lt;30,"Young Adult",IF(RetailSales[[#This Row],[Age]]&lt;50,"Adult","Senior"))</f>
        <v>Young Adult</v>
      </c>
      <c r="L855" t="str">
        <f>_xlfn.CONCAT(I855,"_",RetailSales[[#This Row],[Product Category]])</f>
        <v>50_Clothing</v>
      </c>
    </row>
    <row r="856" spans="1:12">
      <c r="A856">
        <v>855</v>
      </c>
      <c r="B856">
        <v>45170</v>
      </c>
      <c r="C856" t="s">
        <v>883</v>
      </c>
      <c r="D856" t="s">
        <v>13</v>
      </c>
      <c r="E856">
        <v>54</v>
      </c>
      <c r="F856" t="s">
        <v>14</v>
      </c>
      <c r="G856">
        <v>1</v>
      </c>
      <c r="H856">
        <v>25</v>
      </c>
      <c r="I856">
        <f t="shared" si="26"/>
        <v>25</v>
      </c>
      <c r="J856" s="4">
        <f t="shared" si="27"/>
        <v>0.375</v>
      </c>
      <c r="K856" t="str">
        <f>IF(RetailSales[[#This Row],[Age]]&lt;30,"Young Adult",IF(RetailSales[[#This Row],[Age]]&lt;50,"Adult","Senior"))</f>
        <v>Senior</v>
      </c>
      <c r="L856" t="str">
        <f>_xlfn.CONCAT(I856,"_",RetailSales[[#This Row],[Product Category]])</f>
        <v>25_Beauty</v>
      </c>
    </row>
    <row r="857" spans="1:12">
      <c r="A857">
        <v>856</v>
      </c>
      <c r="B857">
        <v>45257</v>
      </c>
      <c r="C857" t="s">
        <v>884</v>
      </c>
      <c r="D857" t="s">
        <v>13</v>
      </c>
      <c r="E857">
        <v>54</v>
      </c>
      <c r="F857" t="s">
        <v>20</v>
      </c>
      <c r="G857">
        <v>4</v>
      </c>
      <c r="H857">
        <v>30</v>
      </c>
      <c r="I857">
        <f t="shared" si="26"/>
        <v>120</v>
      </c>
      <c r="J857" s="4">
        <f t="shared" si="27"/>
        <v>1.7999999999999998</v>
      </c>
      <c r="K857" t="str">
        <f>IF(RetailSales[[#This Row],[Age]]&lt;30,"Young Adult",IF(RetailSales[[#This Row],[Age]]&lt;50,"Adult","Senior"))</f>
        <v>Senior</v>
      </c>
      <c r="L857" t="str">
        <f>_xlfn.CONCAT(I857,"_",RetailSales[[#This Row],[Product Category]])</f>
        <v>120_Electronics</v>
      </c>
    </row>
    <row r="858" spans="1:12">
      <c r="A858">
        <v>857</v>
      </c>
      <c r="B858">
        <v>45291</v>
      </c>
      <c r="C858" t="s">
        <v>885</v>
      </c>
      <c r="D858" t="s">
        <v>13</v>
      </c>
      <c r="E858">
        <v>60</v>
      </c>
      <c r="F858" t="s">
        <v>20</v>
      </c>
      <c r="G858">
        <v>2</v>
      </c>
      <c r="H858">
        <v>25</v>
      </c>
      <c r="I858">
        <f t="shared" si="26"/>
        <v>50</v>
      </c>
      <c r="J858" s="4">
        <f t="shared" si="27"/>
        <v>0.75</v>
      </c>
      <c r="K858" t="str">
        <f>IF(RetailSales[[#This Row],[Age]]&lt;30,"Young Adult",IF(RetailSales[[#This Row],[Age]]&lt;50,"Adult","Senior"))</f>
        <v>Senior</v>
      </c>
      <c r="L858" t="str">
        <f>_xlfn.CONCAT(I858,"_",RetailSales[[#This Row],[Product Category]])</f>
        <v>50_Electronics</v>
      </c>
    </row>
    <row r="859" spans="1:12">
      <c r="A859">
        <v>858</v>
      </c>
      <c r="B859">
        <v>45178</v>
      </c>
      <c r="C859" t="s">
        <v>886</v>
      </c>
      <c r="D859" t="s">
        <v>13</v>
      </c>
      <c r="E859">
        <v>23</v>
      </c>
      <c r="F859" t="s">
        <v>20</v>
      </c>
      <c r="G859">
        <v>2</v>
      </c>
      <c r="H859">
        <v>50</v>
      </c>
      <c r="I859">
        <f t="shared" si="26"/>
        <v>100</v>
      </c>
      <c r="J859" s="4">
        <f t="shared" si="27"/>
        <v>1.5</v>
      </c>
      <c r="K859" t="str">
        <f>IF(RetailSales[[#This Row],[Age]]&lt;30,"Young Adult",IF(RetailSales[[#This Row],[Age]]&lt;50,"Adult","Senior"))</f>
        <v>Young Adult</v>
      </c>
      <c r="L859" t="str">
        <f>_xlfn.CONCAT(I859,"_",RetailSales[[#This Row],[Product Category]])</f>
        <v>100_Electronics</v>
      </c>
    </row>
    <row r="860" spans="1:12">
      <c r="A860">
        <v>859</v>
      </c>
      <c r="B860">
        <v>45156</v>
      </c>
      <c r="C860" t="s">
        <v>887</v>
      </c>
      <c r="D860" t="s">
        <v>17</v>
      </c>
      <c r="E860">
        <v>56</v>
      </c>
      <c r="F860" t="s">
        <v>20</v>
      </c>
      <c r="G860">
        <v>3</v>
      </c>
      <c r="H860">
        <v>500</v>
      </c>
      <c r="I860">
        <f t="shared" si="26"/>
        <v>1500</v>
      </c>
      <c r="J860" s="4">
        <f t="shared" si="27"/>
        <v>22.5</v>
      </c>
      <c r="K860" t="str">
        <f>IF(RetailSales[[#This Row],[Age]]&lt;30,"Young Adult",IF(RetailSales[[#This Row],[Age]]&lt;50,"Adult","Senior"))</f>
        <v>Senior</v>
      </c>
      <c r="L860" t="str">
        <f>_xlfn.CONCAT(I860,"_",RetailSales[[#This Row],[Product Category]])</f>
        <v>1500_Electronics</v>
      </c>
    </row>
    <row r="861" spans="1:12">
      <c r="A861">
        <v>860</v>
      </c>
      <c r="B861">
        <v>44935</v>
      </c>
      <c r="C861" t="s">
        <v>888</v>
      </c>
      <c r="D861" t="s">
        <v>13</v>
      </c>
      <c r="E861">
        <v>63</v>
      </c>
      <c r="F861" t="s">
        <v>18</v>
      </c>
      <c r="G861">
        <v>4</v>
      </c>
      <c r="H861">
        <v>50</v>
      </c>
      <c r="I861">
        <f t="shared" si="26"/>
        <v>200</v>
      </c>
      <c r="J861" s="4">
        <f t="shared" si="27"/>
        <v>3</v>
      </c>
      <c r="K861" t="str">
        <f>IF(RetailSales[[#This Row],[Age]]&lt;30,"Young Adult",IF(RetailSales[[#This Row],[Age]]&lt;50,"Adult","Senior"))</f>
        <v>Senior</v>
      </c>
      <c r="L861" t="str">
        <f>_xlfn.CONCAT(I861,"_",RetailSales[[#This Row],[Product Category]])</f>
        <v>200_Clothing</v>
      </c>
    </row>
    <row r="862" spans="1:12">
      <c r="A862">
        <v>861</v>
      </c>
      <c r="B862">
        <v>44974</v>
      </c>
      <c r="C862" t="s">
        <v>889</v>
      </c>
      <c r="D862" t="s">
        <v>17</v>
      </c>
      <c r="E862">
        <v>41</v>
      </c>
      <c r="F862" t="s">
        <v>18</v>
      </c>
      <c r="G862">
        <v>3</v>
      </c>
      <c r="H862">
        <v>30</v>
      </c>
      <c r="I862">
        <f t="shared" si="26"/>
        <v>90</v>
      </c>
      <c r="J862" s="4">
        <f t="shared" si="27"/>
        <v>1.3499999999999999</v>
      </c>
      <c r="K862" t="str">
        <f>IF(RetailSales[[#This Row],[Age]]&lt;30,"Young Adult",IF(RetailSales[[#This Row],[Age]]&lt;50,"Adult","Senior"))</f>
        <v>Adult</v>
      </c>
      <c r="L862" t="str">
        <f>_xlfn.CONCAT(I862,"_",RetailSales[[#This Row],[Product Category]])</f>
        <v>90_Clothing</v>
      </c>
    </row>
    <row r="863" spans="1:12">
      <c r="A863">
        <v>862</v>
      </c>
      <c r="B863">
        <v>45077</v>
      </c>
      <c r="C863" t="s">
        <v>890</v>
      </c>
      <c r="D863" t="s">
        <v>13</v>
      </c>
      <c r="E863">
        <v>28</v>
      </c>
      <c r="F863" t="s">
        <v>20</v>
      </c>
      <c r="G863">
        <v>4</v>
      </c>
      <c r="H863">
        <v>300</v>
      </c>
      <c r="I863">
        <f t="shared" si="26"/>
        <v>1200</v>
      </c>
      <c r="J863" s="4">
        <f t="shared" si="27"/>
        <v>18</v>
      </c>
      <c r="K863" t="str">
        <f>IF(RetailSales[[#This Row],[Age]]&lt;30,"Young Adult",IF(RetailSales[[#This Row],[Age]]&lt;50,"Adult","Senior"))</f>
        <v>Young Adult</v>
      </c>
      <c r="L863" t="str">
        <f>_xlfn.CONCAT(I863,"_",RetailSales[[#This Row],[Product Category]])</f>
        <v>1200_Electronics</v>
      </c>
    </row>
    <row r="864" spans="1:12">
      <c r="A864">
        <v>863</v>
      </c>
      <c r="B864">
        <v>45040</v>
      </c>
      <c r="C864" t="s">
        <v>891</v>
      </c>
      <c r="D864" t="s">
        <v>17</v>
      </c>
      <c r="E864">
        <v>30</v>
      </c>
      <c r="F864" t="s">
        <v>20</v>
      </c>
      <c r="G864">
        <v>2</v>
      </c>
      <c r="H864">
        <v>25</v>
      </c>
      <c r="I864">
        <f t="shared" si="26"/>
        <v>50</v>
      </c>
      <c r="J864" s="4">
        <f t="shared" si="27"/>
        <v>0.75</v>
      </c>
      <c r="K864" t="str">
        <f>IF(RetailSales[[#This Row],[Age]]&lt;30,"Young Adult",IF(RetailSales[[#This Row],[Age]]&lt;50,"Adult","Senior"))</f>
        <v>Adult</v>
      </c>
      <c r="L864" t="str">
        <f>_xlfn.CONCAT(I864,"_",RetailSales[[#This Row],[Product Category]])</f>
        <v>50_Electronics</v>
      </c>
    </row>
    <row r="865" spans="1:12">
      <c r="A865">
        <v>864</v>
      </c>
      <c r="B865">
        <v>45134</v>
      </c>
      <c r="C865" t="s">
        <v>892</v>
      </c>
      <c r="D865" t="s">
        <v>17</v>
      </c>
      <c r="E865">
        <v>51</v>
      </c>
      <c r="F865" t="s">
        <v>20</v>
      </c>
      <c r="G865">
        <v>1</v>
      </c>
      <c r="H865">
        <v>500</v>
      </c>
      <c r="I865">
        <f t="shared" si="26"/>
        <v>500</v>
      </c>
      <c r="J865" s="4">
        <f t="shared" si="27"/>
        <v>7.5</v>
      </c>
      <c r="K865" t="str">
        <f>IF(RetailSales[[#This Row],[Age]]&lt;30,"Young Adult",IF(RetailSales[[#This Row],[Age]]&lt;50,"Adult","Senior"))</f>
        <v>Senior</v>
      </c>
      <c r="L865" t="str">
        <f>_xlfn.CONCAT(I865,"_",RetailSales[[#This Row],[Product Category]])</f>
        <v>500_Electronics</v>
      </c>
    </row>
    <row r="866" spans="1:12">
      <c r="A866">
        <v>865</v>
      </c>
      <c r="B866">
        <v>45281</v>
      </c>
      <c r="C866" t="s">
        <v>893</v>
      </c>
      <c r="D866" t="s">
        <v>17</v>
      </c>
      <c r="E866">
        <v>42</v>
      </c>
      <c r="F866" t="s">
        <v>18</v>
      </c>
      <c r="G866">
        <v>1</v>
      </c>
      <c r="H866">
        <v>300</v>
      </c>
      <c r="I866">
        <f t="shared" si="26"/>
        <v>300</v>
      </c>
      <c r="J866" s="4">
        <f t="shared" si="27"/>
        <v>4.5</v>
      </c>
      <c r="K866" t="str">
        <f>IF(RetailSales[[#This Row],[Age]]&lt;30,"Young Adult",IF(RetailSales[[#This Row],[Age]]&lt;50,"Adult","Senior"))</f>
        <v>Adult</v>
      </c>
      <c r="L866" t="str">
        <f>_xlfn.CONCAT(I866,"_",RetailSales[[#This Row],[Product Category]])</f>
        <v>300_Clothing</v>
      </c>
    </row>
    <row r="867" spans="1:12">
      <c r="A867">
        <v>866</v>
      </c>
      <c r="B867">
        <v>45051</v>
      </c>
      <c r="C867" t="s">
        <v>894</v>
      </c>
      <c r="D867" t="s">
        <v>13</v>
      </c>
      <c r="E867">
        <v>24</v>
      </c>
      <c r="F867" t="s">
        <v>20</v>
      </c>
      <c r="G867">
        <v>1</v>
      </c>
      <c r="H867">
        <v>50</v>
      </c>
      <c r="I867">
        <f t="shared" si="26"/>
        <v>50</v>
      </c>
      <c r="J867" s="4">
        <f t="shared" si="27"/>
        <v>0.75</v>
      </c>
      <c r="K867" t="str">
        <f>IF(RetailSales[[#This Row],[Age]]&lt;30,"Young Adult",IF(RetailSales[[#This Row],[Age]]&lt;50,"Adult","Senior"))</f>
        <v>Young Adult</v>
      </c>
      <c r="L867" t="str">
        <f>_xlfn.CONCAT(I867,"_",RetailSales[[#This Row],[Product Category]])</f>
        <v>50_Electronics</v>
      </c>
    </row>
    <row r="868" spans="1:12">
      <c r="A868">
        <v>867</v>
      </c>
      <c r="B868">
        <v>45083</v>
      </c>
      <c r="C868" t="s">
        <v>895</v>
      </c>
      <c r="D868" t="s">
        <v>13</v>
      </c>
      <c r="E868">
        <v>21</v>
      </c>
      <c r="F868" t="s">
        <v>20</v>
      </c>
      <c r="G868">
        <v>1</v>
      </c>
      <c r="H868">
        <v>500</v>
      </c>
      <c r="I868">
        <f t="shared" si="26"/>
        <v>500</v>
      </c>
      <c r="J868" s="4">
        <f t="shared" si="27"/>
        <v>7.5</v>
      </c>
      <c r="K868" t="str">
        <f>IF(RetailSales[[#This Row],[Age]]&lt;30,"Young Adult",IF(RetailSales[[#This Row],[Age]]&lt;50,"Adult","Senior"))</f>
        <v>Young Adult</v>
      </c>
      <c r="L868" t="str">
        <f>_xlfn.CONCAT(I868,"_",RetailSales[[#This Row],[Product Category]])</f>
        <v>500_Electronics</v>
      </c>
    </row>
    <row r="869" spans="1:12">
      <c r="A869">
        <v>868</v>
      </c>
      <c r="B869">
        <v>45266</v>
      </c>
      <c r="C869" t="s">
        <v>896</v>
      </c>
      <c r="D869" t="s">
        <v>17</v>
      </c>
      <c r="E869">
        <v>25</v>
      </c>
      <c r="F869" t="s">
        <v>20</v>
      </c>
      <c r="G869">
        <v>1</v>
      </c>
      <c r="H869">
        <v>300</v>
      </c>
      <c r="I869">
        <f t="shared" si="26"/>
        <v>300</v>
      </c>
      <c r="J869" s="4">
        <f t="shared" si="27"/>
        <v>4.5</v>
      </c>
      <c r="K869" t="str">
        <f>IF(RetailSales[[#This Row],[Age]]&lt;30,"Young Adult",IF(RetailSales[[#This Row],[Age]]&lt;50,"Adult","Senior"))</f>
        <v>Young Adult</v>
      </c>
      <c r="L869" t="str">
        <f>_xlfn.CONCAT(I869,"_",RetailSales[[#This Row],[Product Category]])</f>
        <v>300_Electronics</v>
      </c>
    </row>
    <row r="870" spans="1:12">
      <c r="A870">
        <v>869</v>
      </c>
      <c r="B870">
        <v>45224</v>
      </c>
      <c r="C870" t="s">
        <v>897</v>
      </c>
      <c r="D870" t="s">
        <v>13</v>
      </c>
      <c r="E870">
        <v>37</v>
      </c>
      <c r="F870" t="s">
        <v>14</v>
      </c>
      <c r="G870">
        <v>3</v>
      </c>
      <c r="H870">
        <v>500</v>
      </c>
      <c r="I870">
        <f t="shared" si="26"/>
        <v>1500</v>
      </c>
      <c r="J870" s="4">
        <f t="shared" si="27"/>
        <v>22.5</v>
      </c>
      <c r="K870" t="str">
        <f>IF(RetailSales[[#This Row],[Age]]&lt;30,"Young Adult",IF(RetailSales[[#This Row],[Age]]&lt;50,"Adult","Senior"))</f>
        <v>Adult</v>
      </c>
      <c r="L870" t="str">
        <f>_xlfn.CONCAT(I870,"_",RetailSales[[#This Row],[Product Category]])</f>
        <v>1500_Beauty</v>
      </c>
    </row>
    <row r="871" spans="1:12">
      <c r="A871">
        <v>870</v>
      </c>
      <c r="B871">
        <v>45115</v>
      </c>
      <c r="C871" t="s">
        <v>898</v>
      </c>
      <c r="D871" t="s">
        <v>17</v>
      </c>
      <c r="E871">
        <v>46</v>
      </c>
      <c r="F871" t="s">
        <v>20</v>
      </c>
      <c r="G871">
        <v>4</v>
      </c>
      <c r="H871">
        <v>30</v>
      </c>
      <c r="I871">
        <f t="shared" si="26"/>
        <v>120</v>
      </c>
      <c r="J871" s="4">
        <f t="shared" si="27"/>
        <v>1.7999999999999998</v>
      </c>
      <c r="K871" t="str">
        <f>IF(RetailSales[[#This Row],[Age]]&lt;30,"Young Adult",IF(RetailSales[[#This Row],[Age]]&lt;50,"Adult","Senior"))</f>
        <v>Adult</v>
      </c>
      <c r="L871" t="str">
        <f>_xlfn.CONCAT(I871,"_",RetailSales[[#This Row],[Product Category]])</f>
        <v>120_Electronics</v>
      </c>
    </row>
    <row r="872" spans="1:12">
      <c r="A872">
        <v>871</v>
      </c>
      <c r="B872">
        <v>45169</v>
      </c>
      <c r="C872" t="s">
        <v>899</v>
      </c>
      <c r="D872" t="s">
        <v>13</v>
      </c>
      <c r="E872">
        <v>62</v>
      </c>
      <c r="F872" t="s">
        <v>14</v>
      </c>
      <c r="G872">
        <v>2</v>
      </c>
      <c r="H872">
        <v>30</v>
      </c>
      <c r="I872">
        <f t="shared" si="26"/>
        <v>60</v>
      </c>
      <c r="J872" s="4">
        <f t="shared" si="27"/>
        <v>0.89999999999999991</v>
      </c>
      <c r="K872" t="str">
        <f>IF(RetailSales[[#This Row],[Age]]&lt;30,"Young Adult",IF(RetailSales[[#This Row],[Age]]&lt;50,"Adult","Senior"))</f>
        <v>Senior</v>
      </c>
      <c r="L872" t="str">
        <f>_xlfn.CONCAT(I872,"_",RetailSales[[#This Row],[Product Category]])</f>
        <v>60_Beauty</v>
      </c>
    </row>
    <row r="873" spans="1:12">
      <c r="A873">
        <v>872</v>
      </c>
      <c r="B873">
        <v>45210</v>
      </c>
      <c r="C873" t="s">
        <v>900</v>
      </c>
      <c r="D873" t="s">
        <v>17</v>
      </c>
      <c r="E873">
        <v>63</v>
      </c>
      <c r="F873" t="s">
        <v>14</v>
      </c>
      <c r="G873">
        <v>3</v>
      </c>
      <c r="H873">
        <v>25</v>
      </c>
      <c r="I873">
        <f t="shared" si="26"/>
        <v>75</v>
      </c>
      <c r="J873" s="4">
        <f t="shared" si="27"/>
        <v>1.125</v>
      </c>
      <c r="K873" t="str">
        <f>IF(RetailSales[[#This Row],[Age]]&lt;30,"Young Adult",IF(RetailSales[[#This Row],[Age]]&lt;50,"Adult","Senior"))</f>
        <v>Senior</v>
      </c>
      <c r="L873" t="str">
        <f>_xlfn.CONCAT(I873,"_",RetailSales[[#This Row],[Product Category]])</f>
        <v>75_Beauty</v>
      </c>
    </row>
    <row r="874" spans="1:12">
      <c r="A874">
        <v>873</v>
      </c>
      <c r="B874">
        <v>45198</v>
      </c>
      <c r="C874" t="s">
        <v>901</v>
      </c>
      <c r="D874" t="s">
        <v>17</v>
      </c>
      <c r="E874">
        <v>27</v>
      </c>
      <c r="F874" t="s">
        <v>20</v>
      </c>
      <c r="G874">
        <v>4</v>
      </c>
      <c r="H874">
        <v>25</v>
      </c>
      <c r="I874">
        <f t="shared" si="26"/>
        <v>100</v>
      </c>
      <c r="J874" s="4">
        <f t="shared" si="27"/>
        <v>1.5</v>
      </c>
      <c r="K874" t="str">
        <f>IF(RetailSales[[#This Row],[Age]]&lt;30,"Young Adult",IF(RetailSales[[#This Row],[Age]]&lt;50,"Adult","Senior"))</f>
        <v>Young Adult</v>
      </c>
      <c r="L874" t="str">
        <f>_xlfn.CONCAT(I874,"_",RetailSales[[#This Row],[Product Category]])</f>
        <v>100_Electronics</v>
      </c>
    </row>
    <row r="875" spans="1:12">
      <c r="A875">
        <v>874</v>
      </c>
      <c r="B875">
        <v>45103</v>
      </c>
      <c r="C875" t="s">
        <v>902</v>
      </c>
      <c r="D875" t="s">
        <v>13</v>
      </c>
      <c r="E875">
        <v>60</v>
      </c>
      <c r="F875" t="s">
        <v>14</v>
      </c>
      <c r="G875">
        <v>1</v>
      </c>
      <c r="H875">
        <v>30</v>
      </c>
      <c r="I875">
        <f t="shared" si="26"/>
        <v>30</v>
      </c>
      <c r="J875" s="4">
        <f t="shared" si="27"/>
        <v>0.44999999999999996</v>
      </c>
      <c r="K875" t="str">
        <f>IF(RetailSales[[#This Row],[Age]]&lt;30,"Young Adult",IF(RetailSales[[#This Row],[Age]]&lt;50,"Adult","Senior"))</f>
        <v>Senior</v>
      </c>
      <c r="L875" t="str">
        <f>_xlfn.CONCAT(I875,"_",RetailSales[[#This Row],[Product Category]])</f>
        <v>30_Beauty</v>
      </c>
    </row>
    <row r="876" spans="1:12">
      <c r="A876">
        <v>875</v>
      </c>
      <c r="B876">
        <v>45144</v>
      </c>
      <c r="C876" t="s">
        <v>903</v>
      </c>
      <c r="D876" t="s">
        <v>17</v>
      </c>
      <c r="E876">
        <v>51</v>
      </c>
      <c r="F876" t="s">
        <v>20</v>
      </c>
      <c r="G876">
        <v>4</v>
      </c>
      <c r="H876">
        <v>500</v>
      </c>
      <c r="I876">
        <f t="shared" si="26"/>
        <v>2000</v>
      </c>
      <c r="J876" s="4">
        <f t="shared" si="27"/>
        <v>30</v>
      </c>
      <c r="K876" t="str">
        <f>IF(RetailSales[[#This Row],[Age]]&lt;30,"Young Adult",IF(RetailSales[[#This Row],[Age]]&lt;50,"Adult","Senior"))</f>
        <v>Senior</v>
      </c>
      <c r="L876" t="str">
        <f>_xlfn.CONCAT(I876,"_",RetailSales[[#This Row],[Product Category]])</f>
        <v>2000_Electronics</v>
      </c>
    </row>
    <row r="877" spans="1:12">
      <c r="A877">
        <v>876</v>
      </c>
      <c r="B877">
        <v>45208</v>
      </c>
      <c r="C877" t="s">
        <v>904</v>
      </c>
      <c r="D877" t="s">
        <v>13</v>
      </c>
      <c r="E877">
        <v>43</v>
      </c>
      <c r="F877" t="s">
        <v>18</v>
      </c>
      <c r="G877">
        <v>4</v>
      </c>
      <c r="H877">
        <v>30</v>
      </c>
      <c r="I877">
        <f t="shared" si="26"/>
        <v>120</v>
      </c>
      <c r="J877" s="4">
        <f t="shared" si="27"/>
        <v>1.7999999999999998</v>
      </c>
      <c r="K877" t="str">
        <f>IF(RetailSales[[#This Row],[Age]]&lt;30,"Young Adult",IF(RetailSales[[#This Row],[Age]]&lt;50,"Adult","Senior"))</f>
        <v>Adult</v>
      </c>
      <c r="L877" t="str">
        <f>_xlfn.CONCAT(I877,"_",RetailSales[[#This Row],[Product Category]])</f>
        <v>120_Clothing</v>
      </c>
    </row>
    <row r="878" spans="1:12">
      <c r="A878">
        <v>877</v>
      </c>
      <c r="B878">
        <v>45096</v>
      </c>
      <c r="C878" t="s">
        <v>905</v>
      </c>
      <c r="D878" t="s">
        <v>17</v>
      </c>
      <c r="E878">
        <v>58</v>
      </c>
      <c r="F878" t="s">
        <v>18</v>
      </c>
      <c r="G878">
        <v>1</v>
      </c>
      <c r="H878">
        <v>25</v>
      </c>
      <c r="I878">
        <f t="shared" si="26"/>
        <v>25</v>
      </c>
      <c r="J878" s="4">
        <f t="shared" si="27"/>
        <v>0.375</v>
      </c>
      <c r="K878" t="str">
        <f>IF(RetailSales[[#This Row],[Age]]&lt;30,"Young Adult",IF(RetailSales[[#This Row],[Age]]&lt;50,"Adult","Senior"))</f>
        <v>Senior</v>
      </c>
      <c r="L878" t="str">
        <f>_xlfn.CONCAT(I878,"_",RetailSales[[#This Row],[Product Category]])</f>
        <v>25_Clothing</v>
      </c>
    </row>
    <row r="879" spans="1:12">
      <c r="A879">
        <v>878</v>
      </c>
      <c r="B879">
        <v>45107</v>
      </c>
      <c r="C879" t="s">
        <v>906</v>
      </c>
      <c r="D879" t="s">
        <v>17</v>
      </c>
      <c r="E879">
        <v>20</v>
      </c>
      <c r="F879" t="s">
        <v>18</v>
      </c>
      <c r="G879">
        <v>1</v>
      </c>
      <c r="H879">
        <v>30</v>
      </c>
      <c r="I879">
        <f t="shared" si="26"/>
        <v>30</v>
      </c>
      <c r="J879" s="4">
        <f t="shared" si="27"/>
        <v>0.44999999999999996</v>
      </c>
      <c r="K879" t="str">
        <f>IF(RetailSales[[#This Row],[Age]]&lt;30,"Young Adult",IF(RetailSales[[#This Row],[Age]]&lt;50,"Adult","Senior"))</f>
        <v>Young Adult</v>
      </c>
      <c r="L879" t="str">
        <f>_xlfn.CONCAT(I879,"_",RetailSales[[#This Row],[Product Category]])</f>
        <v>30_Clothing</v>
      </c>
    </row>
    <row r="880" spans="1:12">
      <c r="A880">
        <v>879</v>
      </c>
      <c r="B880">
        <v>45286</v>
      </c>
      <c r="C880" t="s">
        <v>907</v>
      </c>
      <c r="D880" t="s">
        <v>13</v>
      </c>
      <c r="E880">
        <v>23</v>
      </c>
      <c r="F880" t="s">
        <v>18</v>
      </c>
      <c r="G880">
        <v>1</v>
      </c>
      <c r="H880">
        <v>30</v>
      </c>
      <c r="I880">
        <f t="shared" si="26"/>
        <v>30</v>
      </c>
      <c r="J880" s="4">
        <f t="shared" si="27"/>
        <v>0.44999999999999996</v>
      </c>
      <c r="K880" t="str">
        <f>IF(RetailSales[[#This Row],[Age]]&lt;30,"Young Adult",IF(RetailSales[[#This Row],[Age]]&lt;50,"Adult","Senior"))</f>
        <v>Young Adult</v>
      </c>
      <c r="L880" t="str">
        <f>_xlfn.CONCAT(I880,"_",RetailSales[[#This Row],[Product Category]])</f>
        <v>30_Clothing</v>
      </c>
    </row>
    <row r="881" spans="1:12">
      <c r="A881">
        <v>880</v>
      </c>
      <c r="B881">
        <v>45159</v>
      </c>
      <c r="C881" t="s">
        <v>908</v>
      </c>
      <c r="D881" t="s">
        <v>13</v>
      </c>
      <c r="E881">
        <v>22</v>
      </c>
      <c r="F881" t="s">
        <v>14</v>
      </c>
      <c r="G881">
        <v>2</v>
      </c>
      <c r="H881">
        <v>500</v>
      </c>
      <c r="I881">
        <f t="shared" si="26"/>
        <v>1000</v>
      </c>
      <c r="J881" s="4">
        <f t="shared" si="27"/>
        <v>15</v>
      </c>
      <c r="K881" t="str">
        <f>IF(RetailSales[[#This Row],[Age]]&lt;30,"Young Adult",IF(RetailSales[[#This Row],[Age]]&lt;50,"Adult","Senior"))</f>
        <v>Young Adult</v>
      </c>
      <c r="L881" t="str">
        <f>_xlfn.CONCAT(I881,"_",RetailSales[[#This Row],[Product Category]])</f>
        <v>1000_Beauty</v>
      </c>
    </row>
    <row r="882" spans="1:12">
      <c r="A882">
        <v>881</v>
      </c>
      <c r="B882">
        <v>45065</v>
      </c>
      <c r="C882" t="s">
        <v>909</v>
      </c>
      <c r="D882" t="s">
        <v>13</v>
      </c>
      <c r="E882">
        <v>22</v>
      </c>
      <c r="F882" t="s">
        <v>20</v>
      </c>
      <c r="G882">
        <v>1</v>
      </c>
      <c r="H882">
        <v>300</v>
      </c>
      <c r="I882">
        <f t="shared" si="26"/>
        <v>300</v>
      </c>
      <c r="J882" s="4">
        <f t="shared" si="27"/>
        <v>4.5</v>
      </c>
      <c r="K882" t="str">
        <f>IF(RetailSales[[#This Row],[Age]]&lt;30,"Young Adult",IF(RetailSales[[#This Row],[Age]]&lt;50,"Adult","Senior"))</f>
        <v>Young Adult</v>
      </c>
      <c r="L882" t="str">
        <f>_xlfn.CONCAT(I882,"_",RetailSales[[#This Row],[Product Category]])</f>
        <v>300_Electronics</v>
      </c>
    </row>
    <row r="883" spans="1:12">
      <c r="A883">
        <v>882</v>
      </c>
      <c r="B883">
        <v>45083</v>
      </c>
      <c r="C883" t="s">
        <v>910</v>
      </c>
      <c r="D883" t="s">
        <v>17</v>
      </c>
      <c r="E883">
        <v>64</v>
      </c>
      <c r="F883" t="s">
        <v>20</v>
      </c>
      <c r="G883">
        <v>2</v>
      </c>
      <c r="H883">
        <v>25</v>
      </c>
      <c r="I883">
        <f t="shared" si="26"/>
        <v>50</v>
      </c>
      <c r="J883" s="4">
        <f t="shared" si="27"/>
        <v>0.75</v>
      </c>
      <c r="K883" t="str">
        <f>IF(RetailSales[[#This Row],[Age]]&lt;30,"Young Adult",IF(RetailSales[[#This Row],[Age]]&lt;50,"Adult","Senior"))</f>
        <v>Senior</v>
      </c>
      <c r="L883" t="str">
        <f>_xlfn.CONCAT(I883,"_",RetailSales[[#This Row],[Product Category]])</f>
        <v>50_Electronics</v>
      </c>
    </row>
    <row r="884" spans="1:12">
      <c r="A884">
        <v>883</v>
      </c>
      <c r="B884">
        <v>45055</v>
      </c>
      <c r="C884" t="s">
        <v>911</v>
      </c>
      <c r="D884" t="s">
        <v>13</v>
      </c>
      <c r="E884">
        <v>40</v>
      </c>
      <c r="F884" t="s">
        <v>20</v>
      </c>
      <c r="G884">
        <v>1</v>
      </c>
      <c r="H884">
        <v>500</v>
      </c>
      <c r="I884">
        <f t="shared" si="26"/>
        <v>500</v>
      </c>
      <c r="J884" s="4">
        <f t="shared" si="27"/>
        <v>7.5</v>
      </c>
      <c r="K884" t="str">
        <f>IF(RetailSales[[#This Row],[Age]]&lt;30,"Young Adult",IF(RetailSales[[#This Row],[Age]]&lt;50,"Adult","Senior"))</f>
        <v>Adult</v>
      </c>
      <c r="L884" t="str">
        <f>_xlfn.CONCAT(I884,"_",RetailSales[[#This Row],[Product Category]])</f>
        <v>500_Electronics</v>
      </c>
    </row>
    <row r="885" spans="1:12">
      <c r="A885">
        <v>884</v>
      </c>
      <c r="B885">
        <v>45045</v>
      </c>
      <c r="C885" t="s">
        <v>912</v>
      </c>
      <c r="D885" t="s">
        <v>17</v>
      </c>
      <c r="E885">
        <v>26</v>
      </c>
      <c r="F885" t="s">
        <v>18</v>
      </c>
      <c r="G885">
        <v>2</v>
      </c>
      <c r="H885">
        <v>30</v>
      </c>
      <c r="I885">
        <f t="shared" si="26"/>
        <v>60</v>
      </c>
      <c r="J885" s="4">
        <f t="shared" si="27"/>
        <v>0.89999999999999991</v>
      </c>
      <c r="K885" t="str">
        <f>IF(RetailSales[[#This Row],[Age]]&lt;30,"Young Adult",IF(RetailSales[[#This Row],[Age]]&lt;50,"Adult","Senior"))</f>
        <v>Young Adult</v>
      </c>
      <c r="L885" t="str">
        <f>_xlfn.CONCAT(I885,"_",RetailSales[[#This Row],[Product Category]])</f>
        <v>60_Clothing</v>
      </c>
    </row>
    <row r="886" spans="1:12">
      <c r="A886">
        <v>885</v>
      </c>
      <c r="B886">
        <v>44988</v>
      </c>
      <c r="C886" t="s">
        <v>913</v>
      </c>
      <c r="D886" t="s">
        <v>17</v>
      </c>
      <c r="E886">
        <v>52</v>
      </c>
      <c r="F886" t="s">
        <v>18</v>
      </c>
      <c r="G886">
        <v>4</v>
      </c>
      <c r="H886">
        <v>30</v>
      </c>
      <c r="I886">
        <f t="shared" si="26"/>
        <v>120</v>
      </c>
      <c r="J886" s="4">
        <f t="shared" si="27"/>
        <v>1.7999999999999998</v>
      </c>
      <c r="K886" t="str">
        <f>IF(RetailSales[[#This Row],[Age]]&lt;30,"Young Adult",IF(RetailSales[[#This Row],[Age]]&lt;50,"Adult","Senior"))</f>
        <v>Senior</v>
      </c>
      <c r="L886" t="str">
        <f>_xlfn.CONCAT(I886,"_",RetailSales[[#This Row],[Product Category]])</f>
        <v>120_Clothing</v>
      </c>
    </row>
    <row r="887" spans="1:12">
      <c r="A887">
        <v>886</v>
      </c>
      <c r="B887">
        <v>45025</v>
      </c>
      <c r="C887" t="s">
        <v>914</v>
      </c>
      <c r="D887" t="s">
        <v>13</v>
      </c>
      <c r="E887">
        <v>37</v>
      </c>
      <c r="F887" t="s">
        <v>20</v>
      </c>
      <c r="G887">
        <v>3</v>
      </c>
      <c r="H887">
        <v>300</v>
      </c>
      <c r="I887">
        <f t="shared" si="26"/>
        <v>900</v>
      </c>
      <c r="J887" s="4">
        <f t="shared" si="27"/>
        <v>13.5</v>
      </c>
      <c r="K887" t="str">
        <f>IF(RetailSales[[#This Row],[Age]]&lt;30,"Young Adult",IF(RetailSales[[#This Row],[Age]]&lt;50,"Adult","Senior"))</f>
        <v>Adult</v>
      </c>
      <c r="L887" t="str">
        <f>_xlfn.CONCAT(I887,"_",RetailSales[[#This Row],[Product Category]])</f>
        <v>900_Electronics</v>
      </c>
    </row>
    <row r="888" spans="1:12">
      <c r="A888">
        <v>887</v>
      </c>
      <c r="B888">
        <v>45088</v>
      </c>
      <c r="C888" t="s">
        <v>915</v>
      </c>
      <c r="D888" t="s">
        <v>13</v>
      </c>
      <c r="E888">
        <v>59</v>
      </c>
      <c r="F888" t="s">
        <v>18</v>
      </c>
      <c r="G888">
        <v>4</v>
      </c>
      <c r="H888">
        <v>25</v>
      </c>
      <c r="I888">
        <f t="shared" si="26"/>
        <v>100</v>
      </c>
      <c r="J888" s="4">
        <f t="shared" si="27"/>
        <v>1.5</v>
      </c>
      <c r="K888" t="str">
        <f>IF(RetailSales[[#This Row],[Age]]&lt;30,"Young Adult",IF(RetailSales[[#This Row],[Age]]&lt;50,"Adult","Senior"))</f>
        <v>Senior</v>
      </c>
      <c r="L888" t="str">
        <f>_xlfn.CONCAT(I888,"_",RetailSales[[#This Row],[Product Category]])</f>
        <v>100_Clothing</v>
      </c>
    </row>
    <row r="889" spans="1:12">
      <c r="A889">
        <v>888</v>
      </c>
      <c r="B889">
        <v>44988</v>
      </c>
      <c r="C889" t="s">
        <v>916</v>
      </c>
      <c r="D889" t="s">
        <v>17</v>
      </c>
      <c r="E889">
        <v>52</v>
      </c>
      <c r="F889" t="s">
        <v>20</v>
      </c>
      <c r="G889">
        <v>4</v>
      </c>
      <c r="H889">
        <v>25</v>
      </c>
      <c r="I889">
        <f t="shared" si="26"/>
        <v>100</v>
      </c>
      <c r="J889" s="4">
        <f t="shared" si="27"/>
        <v>1.5</v>
      </c>
      <c r="K889" t="str">
        <f>IF(RetailSales[[#This Row],[Age]]&lt;30,"Young Adult",IF(RetailSales[[#This Row],[Age]]&lt;50,"Adult","Senior"))</f>
        <v>Senior</v>
      </c>
      <c r="L889" t="str">
        <f>_xlfn.CONCAT(I889,"_",RetailSales[[#This Row],[Product Category]])</f>
        <v>100_Electronics</v>
      </c>
    </row>
    <row r="890" spans="1:12">
      <c r="A890">
        <v>889</v>
      </c>
      <c r="B890">
        <v>45201</v>
      </c>
      <c r="C890" t="s">
        <v>917</v>
      </c>
      <c r="D890" t="s">
        <v>17</v>
      </c>
      <c r="E890">
        <v>35</v>
      </c>
      <c r="F890" t="s">
        <v>20</v>
      </c>
      <c r="G890">
        <v>1</v>
      </c>
      <c r="H890">
        <v>50</v>
      </c>
      <c r="I890">
        <f t="shared" si="26"/>
        <v>50</v>
      </c>
      <c r="J890" s="4">
        <f t="shared" si="27"/>
        <v>0.75</v>
      </c>
      <c r="K890" t="str">
        <f>IF(RetailSales[[#This Row],[Age]]&lt;30,"Young Adult",IF(RetailSales[[#This Row],[Age]]&lt;50,"Adult","Senior"))</f>
        <v>Adult</v>
      </c>
      <c r="L890" t="str">
        <f>_xlfn.CONCAT(I890,"_",RetailSales[[#This Row],[Product Category]])</f>
        <v>50_Electronics</v>
      </c>
    </row>
    <row r="891" spans="1:12">
      <c r="A891">
        <v>890</v>
      </c>
      <c r="B891">
        <v>45280</v>
      </c>
      <c r="C891" t="s">
        <v>918</v>
      </c>
      <c r="D891" t="s">
        <v>13</v>
      </c>
      <c r="E891">
        <v>34</v>
      </c>
      <c r="F891" t="s">
        <v>20</v>
      </c>
      <c r="G891">
        <v>2</v>
      </c>
      <c r="H891">
        <v>25</v>
      </c>
      <c r="I891">
        <f t="shared" si="26"/>
        <v>50</v>
      </c>
      <c r="J891" s="4">
        <f t="shared" si="27"/>
        <v>0.75</v>
      </c>
      <c r="K891" t="str">
        <f>IF(RetailSales[[#This Row],[Age]]&lt;30,"Young Adult",IF(RetailSales[[#This Row],[Age]]&lt;50,"Adult","Senior"))</f>
        <v>Adult</v>
      </c>
      <c r="L891" t="str">
        <f>_xlfn.CONCAT(I891,"_",RetailSales[[#This Row],[Product Category]])</f>
        <v>50_Electronics</v>
      </c>
    </row>
    <row r="892" spans="1:12">
      <c r="A892">
        <v>891</v>
      </c>
      <c r="B892">
        <v>45021</v>
      </c>
      <c r="C892" t="s">
        <v>919</v>
      </c>
      <c r="D892" t="s">
        <v>13</v>
      </c>
      <c r="E892">
        <v>41</v>
      </c>
      <c r="F892" t="s">
        <v>20</v>
      </c>
      <c r="G892">
        <v>3</v>
      </c>
      <c r="H892">
        <v>300</v>
      </c>
      <c r="I892">
        <f t="shared" si="26"/>
        <v>900</v>
      </c>
      <c r="J892" s="4">
        <f t="shared" si="27"/>
        <v>13.5</v>
      </c>
      <c r="K892" t="str">
        <f>IF(RetailSales[[#This Row],[Age]]&lt;30,"Young Adult",IF(RetailSales[[#This Row],[Age]]&lt;50,"Adult","Senior"))</f>
        <v>Adult</v>
      </c>
      <c r="L892" t="str">
        <f>_xlfn.CONCAT(I892,"_",RetailSales[[#This Row],[Product Category]])</f>
        <v>900_Electronics</v>
      </c>
    </row>
    <row r="893" spans="1:12">
      <c r="A893">
        <v>892</v>
      </c>
      <c r="B893">
        <v>45025</v>
      </c>
      <c r="C893" t="s">
        <v>920</v>
      </c>
      <c r="D893" t="s">
        <v>13</v>
      </c>
      <c r="E893">
        <v>20</v>
      </c>
      <c r="F893" t="s">
        <v>20</v>
      </c>
      <c r="G893">
        <v>1</v>
      </c>
      <c r="H893">
        <v>50</v>
      </c>
      <c r="I893">
        <f t="shared" si="26"/>
        <v>50</v>
      </c>
      <c r="J893" s="4">
        <f t="shared" si="27"/>
        <v>0.75</v>
      </c>
      <c r="K893" t="str">
        <f>IF(RetailSales[[#This Row],[Age]]&lt;30,"Young Adult",IF(RetailSales[[#This Row],[Age]]&lt;50,"Adult","Senior"))</f>
        <v>Young Adult</v>
      </c>
      <c r="L893" t="str">
        <f>_xlfn.CONCAT(I893,"_",RetailSales[[#This Row],[Product Category]])</f>
        <v>50_Electronics</v>
      </c>
    </row>
    <row r="894" spans="1:12">
      <c r="A894">
        <v>893</v>
      </c>
      <c r="B894">
        <v>45037</v>
      </c>
      <c r="C894" t="s">
        <v>921</v>
      </c>
      <c r="D894" t="s">
        <v>13</v>
      </c>
      <c r="E894">
        <v>49</v>
      </c>
      <c r="F894" t="s">
        <v>20</v>
      </c>
      <c r="G894">
        <v>1</v>
      </c>
      <c r="H894">
        <v>50</v>
      </c>
      <c r="I894">
        <f t="shared" si="26"/>
        <v>50</v>
      </c>
      <c r="J894" s="4">
        <f t="shared" si="27"/>
        <v>0.75</v>
      </c>
      <c r="K894" t="str">
        <f>IF(RetailSales[[#This Row],[Age]]&lt;30,"Young Adult",IF(RetailSales[[#This Row],[Age]]&lt;50,"Adult","Senior"))</f>
        <v>Adult</v>
      </c>
      <c r="L894" t="str">
        <f>_xlfn.CONCAT(I894,"_",RetailSales[[#This Row],[Product Category]])</f>
        <v>50_Electronics</v>
      </c>
    </row>
    <row r="895" spans="1:12">
      <c r="A895">
        <v>894</v>
      </c>
      <c r="B895">
        <v>45174</v>
      </c>
      <c r="C895" t="s">
        <v>922</v>
      </c>
      <c r="D895" t="s">
        <v>13</v>
      </c>
      <c r="E895">
        <v>52</v>
      </c>
      <c r="F895" t="s">
        <v>20</v>
      </c>
      <c r="G895">
        <v>1</v>
      </c>
      <c r="H895">
        <v>30</v>
      </c>
      <c r="I895">
        <f t="shared" si="26"/>
        <v>30</v>
      </c>
      <c r="J895" s="4">
        <f t="shared" si="27"/>
        <v>0.44999999999999996</v>
      </c>
      <c r="K895" t="str">
        <f>IF(RetailSales[[#This Row],[Age]]&lt;30,"Young Adult",IF(RetailSales[[#This Row],[Age]]&lt;50,"Adult","Senior"))</f>
        <v>Senior</v>
      </c>
      <c r="L895" t="str">
        <f>_xlfn.CONCAT(I895,"_",RetailSales[[#This Row],[Product Category]])</f>
        <v>30_Electronics</v>
      </c>
    </row>
    <row r="896" spans="1:12">
      <c r="A896">
        <v>895</v>
      </c>
      <c r="B896">
        <v>45068</v>
      </c>
      <c r="C896" t="s">
        <v>923</v>
      </c>
      <c r="D896" t="s">
        <v>17</v>
      </c>
      <c r="E896">
        <v>55</v>
      </c>
      <c r="F896" t="s">
        <v>18</v>
      </c>
      <c r="G896">
        <v>4</v>
      </c>
      <c r="H896">
        <v>30</v>
      </c>
      <c r="I896">
        <f t="shared" si="26"/>
        <v>120</v>
      </c>
      <c r="J896" s="4">
        <f t="shared" si="27"/>
        <v>1.7999999999999998</v>
      </c>
      <c r="K896" t="str">
        <f>IF(RetailSales[[#This Row],[Age]]&lt;30,"Young Adult",IF(RetailSales[[#This Row],[Age]]&lt;50,"Adult","Senior"))</f>
        <v>Senior</v>
      </c>
      <c r="L896" t="str">
        <f>_xlfn.CONCAT(I896,"_",RetailSales[[#This Row],[Product Category]])</f>
        <v>120_Clothing</v>
      </c>
    </row>
    <row r="897" spans="1:12">
      <c r="A897">
        <v>896</v>
      </c>
      <c r="B897">
        <v>45228</v>
      </c>
      <c r="C897" t="s">
        <v>924</v>
      </c>
      <c r="D897" t="s">
        <v>17</v>
      </c>
      <c r="E897">
        <v>30</v>
      </c>
      <c r="F897" t="s">
        <v>20</v>
      </c>
      <c r="G897">
        <v>2</v>
      </c>
      <c r="H897">
        <v>25</v>
      </c>
      <c r="I897">
        <f t="shared" si="26"/>
        <v>50</v>
      </c>
      <c r="J897" s="4">
        <f t="shared" si="27"/>
        <v>0.75</v>
      </c>
      <c r="K897" t="str">
        <f>IF(RetailSales[[#This Row],[Age]]&lt;30,"Young Adult",IF(RetailSales[[#This Row],[Age]]&lt;50,"Adult","Senior"))</f>
        <v>Adult</v>
      </c>
      <c r="L897" t="str">
        <f>_xlfn.CONCAT(I897,"_",RetailSales[[#This Row],[Product Category]])</f>
        <v>50_Electronics</v>
      </c>
    </row>
    <row r="898" spans="1:12">
      <c r="A898">
        <v>897</v>
      </c>
      <c r="B898">
        <v>45195</v>
      </c>
      <c r="C898" t="s">
        <v>925</v>
      </c>
      <c r="D898" t="s">
        <v>17</v>
      </c>
      <c r="E898">
        <v>64</v>
      </c>
      <c r="F898" t="s">
        <v>20</v>
      </c>
      <c r="G898">
        <v>2</v>
      </c>
      <c r="H898">
        <v>50</v>
      </c>
      <c r="I898">
        <f t="shared" si="26"/>
        <v>100</v>
      </c>
      <c r="J898" s="4">
        <f t="shared" si="27"/>
        <v>1.5</v>
      </c>
      <c r="K898" t="str">
        <f>IF(RetailSales[[#This Row],[Age]]&lt;30,"Young Adult",IF(RetailSales[[#This Row],[Age]]&lt;50,"Adult","Senior"))</f>
        <v>Senior</v>
      </c>
      <c r="L898" t="str">
        <f>_xlfn.CONCAT(I898,"_",RetailSales[[#This Row],[Product Category]])</f>
        <v>100_Electronics</v>
      </c>
    </row>
    <row r="899" spans="1:12">
      <c r="A899">
        <v>898</v>
      </c>
      <c r="B899">
        <v>45232</v>
      </c>
      <c r="C899" t="s">
        <v>926</v>
      </c>
      <c r="D899" t="s">
        <v>17</v>
      </c>
      <c r="E899">
        <v>42</v>
      </c>
      <c r="F899" t="s">
        <v>18</v>
      </c>
      <c r="G899">
        <v>3</v>
      </c>
      <c r="H899">
        <v>30</v>
      </c>
      <c r="I899">
        <f t="shared" ref="I899:I962" si="28">G899*H899</f>
        <v>90</v>
      </c>
      <c r="J899" s="4">
        <f t="shared" ref="J899:J962" si="29">I899*$O$3</f>
        <v>1.3499999999999999</v>
      </c>
      <c r="K899" t="str">
        <f>IF(RetailSales[[#This Row],[Age]]&lt;30,"Young Adult",IF(RetailSales[[#This Row],[Age]]&lt;50,"Adult","Senior"))</f>
        <v>Adult</v>
      </c>
      <c r="L899" t="str">
        <f>_xlfn.CONCAT(I899,"_",RetailSales[[#This Row],[Product Category]])</f>
        <v>90_Clothing</v>
      </c>
    </row>
    <row r="900" spans="1:12">
      <c r="A900">
        <v>899</v>
      </c>
      <c r="B900">
        <v>45071</v>
      </c>
      <c r="C900" t="s">
        <v>927</v>
      </c>
      <c r="D900" t="s">
        <v>13</v>
      </c>
      <c r="E900">
        <v>26</v>
      </c>
      <c r="F900" t="s">
        <v>18</v>
      </c>
      <c r="G900">
        <v>2</v>
      </c>
      <c r="H900">
        <v>300</v>
      </c>
      <c r="I900">
        <f t="shared" si="28"/>
        <v>600</v>
      </c>
      <c r="J900" s="4">
        <f t="shared" si="29"/>
        <v>9</v>
      </c>
      <c r="K900" t="str">
        <f>IF(RetailSales[[#This Row],[Age]]&lt;30,"Young Adult",IF(RetailSales[[#This Row],[Age]]&lt;50,"Adult","Senior"))</f>
        <v>Young Adult</v>
      </c>
      <c r="L900" t="str">
        <f>_xlfn.CONCAT(I900,"_",RetailSales[[#This Row],[Product Category]])</f>
        <v>600_Clothing</v>
      </c>
    </row>
    <row r="901" spans="1:12">
      <c r="A901">
        <v>900</v>
      </c>
      <c r="B901">
        <v>44978</v>
      </c>
      <c r="C901" t="s">
        <v>928</v>
      </c>
      <c r="D901" t="s">
        <v>13</v>
      </c>
      <c r="E901">
        <v>21</v>
      </c>
      <c r="F901" t="s">
        <v>18</v>
      </c>
      <c r="G901">
        <v>2</v>
      </c>
      <c r="H901">
        <v>30</v>
      </c>
      <c r="I901">
        <f t="shared" si="28"/>
        <v>60</v>
      </c>
      <c r="J901" s="4">
        <f t="shared" si="29"/>
        <v>0.89999999999999991</v>
      </c>
      <c r="K901" t="str">
        <f>IF(RetailSales[[#This Row],[Age]]&lt;30,"Young Adult",IF(RetailSales[[#This Row],[Age]]&lt;50,"Adult","Senior"))</f>
        <v>Young Adult</v>
      </c>
      <c r="L901" t="str">
        <f>_xlfn.CONCAT(I901,"_",RetailSales[[#This Row],[Product Category]])</f>
        <v>60_Clothing</v>
      </c>
    </row>
    <row r="902" spans="1:12">
      <c r="A902">
        <v>901</v>
      </c>
      <c r="B902">
        <v>45026</v>
      </c>
      <c r="C902" t="s">
        <v>929</v>
      </c>
      <c r="D902" t="s">
        <v>13</v>
      </c>
      <c r="E902">
        <v>31</v>
      </c>
      <c r="F902" t="s">
        <v>20</v>
      </c>
      <c r="G902">
        <v>1</v>
      </c>
      <c r="H902">
        <v>30</v>
      </c>
      <c r="I902">
        <f t="shared" si="28"/>
        <v>30</v>
      </c>
      <c r="J902" s="4">
        <f t="shared" si="29"/>
        <v>0.44999999999999996</v>
      </c>
      <c r="K902" t="str">
        <f>IF(RetailSales[[#This Row],[Age]]&lt;30,"Young Adult",IF(RetailSales[[#This Row],[Age]]&lt;50,"Adult","Senior"))</f>
        <v>Adult</v>
      </c>
      <c r="L902" t="str">
        <f>_xlfn.CONCAT(I902,"_",RetailSales[[#This Row],[Product Category]])</f>
        <v>30_Electronics</v>
      </c>
    </row>
    <row r="903" spans="1:12">
      <c r="A903">
        <v>902</v>
      </c>
      <c r="B903">
        <v>45078</v>
      </c>
      <c r="C903" t="s">
        <v>930</v>
      </c>
      <c r="D903" t="s">
        <v>17</v>
      </c>
      <c r="E903">
        <v>54</v>
      </c>
      <c r="F903" t="s">
        <v>14</v>
      </c>
      <c r="G903">
        <v>1</v>
      </c>
      <c r="H903">
        <v>50</v>
      </c>
      <c r="I903">
        <f t="shared" si="28"/>
        <v>50</v>
      </c>
      <c r="J903" s="4">
        <f t="shared" si="29"/>
        <v>0.75</v>
      </c>
      <c r="K903" t="str">
        <f>IF(RetailSales[[#This Row],[Age]]&lt;30,"Young Adult",IF(RetailSales[[#This Row],[Age]]&lt;50,"Adult","Senior"))</f>
        <v>Senior</v>
      </c>
      <c r="L903" t="str">
        <f>_xlfn.CONCAT(I903,"_",RetailSales[[#This Row],[Product Category]])</f>
        <v>50_Beauty</v>
      </c>
    </row>
    <row r="904" spans="1:12">
      <c r="A904">
        <v>903</v>
      </c>
      <c r="B904">
        <v>45043</v>
      </c>
      <c r="C904" t="s">
        <v>931</v>
      </c>
      <c r="D904" t="s">
        <v>17</v>
      </c>
      <c r="E904">
        <v>51</v>
      </c>
      <c r="F904" t="s">
        <v>14</v>
      </c>
      <c r="G904">
        <v>4</v>
      </c>
      <c r="H904">
        <v>50</v>
      </c>
      <c r="I904">
        <f t="shared" si="28"/>
        <v>200</v>
      </c>
      <c r="J904" s="4">
        <f t="shared" si="29"/>
        <v>3</v>
      </c>
      <c r="K904" t="str">
        <f>IF(RetailSales[[#This Row],[Age]]&lt;30,"Young Adult",IF(RetailSales[[#This Row],[Age]]&lt;50,"Adult","Senior"))</f>
        <v>Senior</v>
      </c>
      <c r="L904" t="str">
        <f>_xlfn.CONCAT(I904,"_",RetailSales[[#This Row],[Product Category]])</f>
        <v>200_Beauty</v>
      </c>
    </row>
    <row r="905" spans="1:12">
      <c r="A905">
        <v>904</v>
      </c>
      <c r="B905">
        <v>45111</v>
      </c>
      <c r="C905" t="s">
        <v>932</v>
      </c>
      <c r="D905" t="s">
        <v>13</v>
      </c>
      <c r="E905">
        <v>28</v>
      </c>
      <c r="F905" t="s">
        <v>18</v>
      </c>
      <c r="G905">
        <v>1</v>
      </c>
      <c r="H905">
        <v>500</v>
      </c>
      <c r="I905">
        <f t="shared" si="28"/>
        <v>500</v>
      </c>
      <c r="J905" s="4">
        <f t="shared" si="29"/>
        <v>7.5</v>
      </c>
      <c r="K905" t="str">
        <f>IF(RetailSales[[#This Row],[Age]]&lt;30,"Young Adult",IF(RetailSales[[#This Row],[Age]]&lt;50,"Adult","Senior"))</f>
        <v>Young Adult</v>
      </c>
      <c r="L905" t="str">
        <f>_xlfn.CONCAT(I905,"_",RetailSales[[#This Row],[Product Category]])</f>
        <v>500_Clothing</v>
      </c>
    </row>
    <row r="906" spans="1:12">
      <c r="A906">
        <v>905</v>
      </c>
      <c r="B906">
        <v>45018</v>
      </c>
      <c r="C906" t="s">
        <v>933</v>
      </c>
      <c r="D906" t="s">
        <v>13</v>
      </c>
      <c r="E906">
        <v>58</v>
      </c>
      <c r="F906" t="s">
        <v>14</v>
      </c>
      <c r="G906">
        <v>1</v>
      </c>
      <c r="H906">
        <v>300</v>
      </c>
      <c r="I906">
        <f t="shared" si="28"/>
        <v>300</v>
      </c>
      <c r="J906" s="4">
        <f t="shared" si="29"/>
        <v>4.5</v>
      </c>
      <c r="K906" t="str">
        <f>IF(RetailSales[[#This Row],[Age]]&lt;30,"Young Adult",IF(RetailSales[[#This Row],[Age]]&lt;50,"Adult","Senior"))</f>
        <v>Senior</v>
      </c>
      <c r="L906" t="str">
        <f>_xlfn.CONCAT(I906,"_",RetailSales[[#This Row],[Product Category]])</f>
        <v>300_Beauty</v>
      </c>
    </row>
    <row r="907" spans="1:12">
      <c r="A907">
        <v>906</v>
      </c>
      <c r="B907">
        <v>45081</v>
      </c>
      <c r="C907" t="s">
        <v>934</v>
      </c>
      <c r="D907" t="s">
        <v>17</v>
      </c>
      <c r="E907">
        <v>20</v>
      </c>
      <c r="F907" t="s">
        <v>18</v>
      </c>
      <c r="G907">
        <v>1</v>
      </c>
      <c r="H907">
        <v>50</v>
      </c>
      <c r="I907">
        <f t="shared" si="28"/>
        <v>50</v>
      </c>
      <c r="J907" s="4">
        <f t="shared" si="29"/>
        <v>0.75</v>
      </c>
      <c r="K907" t="str">
        <f>IF(RetailSales[[#This Row],[Age]]&lt;30,"Young Adult",IF(RetailSales[[#This Row],[Age]]&lt;50,"Adult","Senior"))</f>
        <v>Young Adult</v>
      </c>
      <c r="L907" t="str">
        <f>_xlfn.CONCAT(I907,"_",RetailSales[[#This Row],[Product Category]])</f>
        <v>50_Clothing</v>
      </c>
    </row>
    <row r="908" spans="1:12">
      <c r="A908">
        <v>907</v>
      </c>
      <c r="B908">
        <v>44934</v>
      </c>
      <c r="C908" t="s">
        <v>935</v>
      </c>
      <c r="D908" t="s">
        <v>17</v>
      </c>
      <c r="E908">
        <v>45</v>
      </c>
      <c r="F908" t="s">
        <v>20</v>
      </c>
      <c r="G908">
        <v>1</v>
      </c>
      <c r="H908">
        <v>25</v>
      </c>
      <c r="I908">
        <f t="shared" si="28"/>
        <v>25</v>
      </c>
      <c r="J908" s="4">
        <f t="shared" si="29"/>
        <v>0.375</v>
      </c>
      <c r="K908" t="str">
        <f>IF(RetailSales[[#This Row],[Age]]&lt;30,"Young Adult",IF(RetailSales[[#This Row],[Age]]&lt;50,"Adult","Senior"))</f>
        <v>Adult</v>
      </c>
      <c r="L908" t="str">
        <f>_xlfn.CONCAT(I908,"_",RetailSales[[#This Row],[Product Category]])</f>
        <v>25_Electronics</v>
      </c>
    </row>
    <row r="909" spans="1:12">
      <c r="A909">
        <v>908</v>
      </c>
      <c r="B909">
        <v>45289</v>
      </c>
      <c r="C909" t="s">
        <v>936</v>
      </c>
      <c r="D909" t="s">
        <v>13</v>
      </c>
      <c r="E909">
        <v>46</v>
      </c>
      <c r="F909" t="s">
        <v>14</v>
      </c>
      <c r="G909">
        <v>4</v>
      </c>
      <c r="H909">
        <v>300</v>
      </c>
      <c r="I909">
        <f t="shared" si="28"/>
        <v>1200</v>
      </c>
      <c r="J909" s="4">
        <f t="shared" si="29"/>
        <v>18</v>
      </c>
      <c r="K909" t="str">
        <f>IF(RetailSales[[#This Row],[Age]]&lt;30,"Young Adult",IF(RetailSales[[#This Row],[Age]]&lt;50,"Adult","Senior"))</f>
        <v>Adult</v>
      </c>
      <c r="L909" t="str">
        <f>_xlfn.CONCAT(I909,"_",RetailSales[[#This Row],[Product Category]])</f>
        <v>1200_Beauty</v>
      </c>
    </row>
    <row r="910" spans="1:12">
      <c r="A910">
        <v>909</v>
      </c>
      <c r="B910">
        <v>45200</v>
      </c>
      <c r="C910" t="s">
        <v>937</v>
      </c>
      <c r="D910" t="s">
        <v>13</v>
      </c>
      <c r="E910">
        <v>26</v>
      </c>
      <c r="F910" t="s">
        <v>20</v>
      </c>
      <c r="G910">
        <v>1</v>
      </c>
      <c r="H910">
        <v>300</v>
      </c>
      <c r="I910">
        <f t="shared" si="28"/>
        <v>300</v>
      </c>
      <c r="J910" s="4">
        <f t="shared" si="29"/>
        <v>4.5</v>
      </c>
      <c r="K910" t="str">
        <f>IF(RetailSales[[#This Row],[Age]]&lt;30,"Young Adult",IF(RetailSales[[#This Row],[Age]]&lt;50,"Adult","Senior"))</f>
        <v>Young Adult</v>
      </c>
      <c r="L910" t="str">
        <f>_xlfn.CONCAT(I910,"_",RetailSales[[#This Row],[Product Category]])</f>
        <v>300_Electronics</v>
      </c>
    </row>
    <row r="911" spans="1:12">
      <c r="A911">
        <v>910</v>
      </c>
      <c r="B911">
        <v>44991</v>
      </c>
      <c r="C911" t="s">
        <v>938</v>
      </c>
      <c r="D911" t="s">
        <v>17</v>
      </c>
      <c r="E911">
        <v>20</v>
      </c>
      <c r="F911" t="s">
        <v>14</v>
      </c>
      <c r="G911">
        <v>3</v>
      </c>
      <c r="H911">
        <v>50</v>
      </c>
      <c r="I911">
        <f t="shared" si="28"/>
        <v>150</v>
      </c>
      <c r="J911" s="4">
        <f t="shared" si="29"/>
        <v>2.25</v>
      </c>
      <c r="K911" t="str">
        <f>IF(RetailSales[[#This Row],[Age]]&lt;30,"Young Adult",IF(RetailSales[[#This Row],[Age]]&lt;50,"Adult","Senior"))</f>
        <v>Young Adult</v>
      </c>
      <c r="L911" t="str">
        <f>_xlfn.CONCAT(I911,"_",RetailSales[[#This Row],[Product Category]])</f>
        <v>150_Beauty</v>
      </c>
    </row>
    <row r="912" spans="1:12">
      <c r="A912">
        <v>911</v>
      </c>
      <c r="B912">
        <v>45067</v>
      </c>
      <c r="C912" t="s">
        <v>939</v>
      </c>
      <c r="D912" t="s">
        <v>13</v>
      </c>
      <c r="E912">
        <v>42</v>
      </c>
      <c r="F912" t="s">
        <v>20</v>
      </c>
      <c r="G912">
        <v>3</v>
      </c>
      <c r="H912">
        <v>300</v>
      </c>
      <c r="I912">
        <f t="shared" si="28"/>
        <v>900</v>
      </c>
      <c r="J912" s="4">
        <f t="shared" si="29"/>
        <v>13.5</v>
      </c>
      <c r="K912" t="str">
        <f>IF(RetailSales[[#This Row],[Age]]&lt;30,"Young Adult",IF(RetailSales[[#This Row],[Age]]&lt;50,"Adult","Senior"))</f>
        <v>Adult</v>
      </c>
      <c r="L912" t="str">
        <f>_xlfn.CONCAT(I912,"_",RetailSales[[#This Row],[Product Category]])</f>
        <v>900_Electronics</v>
      </c>
    </row>
    <row r="913" spans="1:12">
      <c r="A913">
        <v>912</v>
      </c>
      <c r="B913">
        <v>44950</v>
      </c>
      <c r="C913" t="s">
        <v>940</v>
      </c>
      <c r="D913" t="s">
        <v>13</v>
      </c>
      <c r="E913">
        <v>51</v>
      </c>
      <c r="F913" t="s">
        <v>14</v>
      </c>
      <c r="G913">
        <v>3</v>
      </c>
      <c r="H913">
        <v>50</v>
      </c>
      <c r="I913">
        <f t="shared" si="28"/>
        <v>150</v>
      </c>
      <c r="J913" s="4">
        <f t="shared" si="29"/>
        <v>2.25</v>
      </c>
      <c r="K913" t="str">
        <f>IF(RetailSales[[#This Row],[Age]]&lt;30,"Young Adult",IF(RetailSales[[#This Row],[Age]]&lt;50,"Adult","Senior"))</f>
        <v>Senior</v>
      </c>
      <c r="L913" t="str">
        <f>_xlfn.CONCAT(I913,"_",RetailSales[[#This Row],[Product Category]])</f>
        <v>150_Beauty</v>
      </c>
    </row>
    <row r="914" spans="1:12">
      <c r="A914">
        <v>913</v>
      </c>
      <c r="B914">
        <v>44954</v>
      </c>
      <c r="C914" t="s">
        <v>941</v>
      </c>
      <c r="D914" t="s">
        <v>13</v>
      </c>
      <c r="E914">
        <v>29</v>
      </c>
      <c r="F914" t="s">
        <v>20</v>
      </c>
      <c r="G914">
        <v>3</v>
      </c>
      <c r="H914">
        <v>30</v>
      </c>
      <c r="I914">
        <f t="shared" si="28"/>
        <v>90</v>
      </c>
      <c r="J914" s="4">
        <f t="shared" si="29"/>
        <v>1.3499999999999999</v>
      </c>
      <c r="K914" t="str">
        <f>IF(RetailSales[[#This Row],[Age]]&lt;30,"Young Adult",IF(RetailSales[[#This Row],[Age]]&lt;50,"Adult","Senior"))</f>
        <v>Young Adult</v>
      </c>
      <c r="L914" t="str">
        <f>_xlfn.CONCAT(I914,"_",RetailSales[[#This Row],[Product Category]])</f>
        <v>90_Electronics</v>
      </c>
    </row>
    <row r="915" spans="1:12">
      <c r="A915">
        <v>914</v>
      </c>
      <c r="B915">
        <v>45210</v>
      </c>
      <c r="C915" t="s">
        <v>942</v>
      </c>
      <c r="D915" t="s">
        <v>17</v>
      </c>
      <c r="E915">
        <v>59</v>
      </c>
      <c r="F915" t="s">
        <v>20</v>
      </c>
      <c r="G915">
        <v>1</v>
      </c>
      <c r="H915">
        <v>500</v>
      </c>
      <c r="I915">
        <f t="shared" si="28"/>
        <v>500</v>
      </c>
      <c r="J915" s="4">
        <f t="shared" si="29"/>
        <v>7.5</v>
      </c>
      <c r="K915" t="str">
        <f>IF(RetailSales[[#This Row],[Age]]&lt;30,"Young Adult",IF(RetailSales[[#This Row],[Age]]&lt;50,"Adult","Senior"))</f>
        <v>Senior</v>
      </c>
      <c r="L915" t="str">
        <f>_xlfn.CONCAT(I915,"_",RetailSales[[#This Row],[Product Category]])</f>
        <v>500_Electronics</v>
      </c>
    </row>
    <row r="916" spans="1:12">
      <c r="A916">
        <v>915</v>
      </c>
      <c r="B916">
        <v>45076</v>
      </c>
      <c r="C916" t="s">
        <v>943</v>
      </c>
      <c r="D916" t="s">
        <v>17</v>
      </c>
      <c r="E916">
        <v>26</v>
      </c>
      <c r="F916" t="s">
        <v>14</v>
      </c>
      <c r="G916">
        <v>3</v>
      </c>
      <c r="H916">
        <v>30</v>
      </c>
      <c r="I916">
        <f t="shared" si="28"/>
        <v>90</v>
      </c>
      <c r="J916" s="4">
        <f t="shared" si="29"/>
        <v>1.3499999999999999</v>
      </c>
      <c r="K916" t="str">
        <f>IF(RetailSales[[#This Row],[Age]]&lt;30,"Young Adult",IF(RetailSales[[#This Row],[Age]]&lt;50,"Adult","Senior"))</f>
        <v>Young Adult</v>
      </c>
      <c r="L916" t="str">
        <f>_xlfn.CONCAT(I916,"_",RetailSales[[#This Row],[Product Category]])</f>
        <v>90_Beauty</v>
      </c>
    </row>
    <row r="917" spans="1:12">
      <c r="A917">
        <v>916</v>
      </c>
      <c r="B917">
        <v>45284</v>
      </c>
      <c r="C917" t="s">
        <v>944</v>
      </c>
      <c r="D917" t="s">
        <v>17</v>
      </c>
      <c r="E917">
        <v>32</v>
      </c>
      <c r="F917" t="s">
        <v>20</v>
      </c>
      <c r="G917">
        <v>1</v>
      </c>
      <c r="H917">
        <v>50</v>
      </c>
      <c r="I917">
        <f t="shared" si="28"/>
        <v>50</v>
      </c>
      <c r="J917" s="4">
        <f t="shared" si="29"/>
        <v>0.75</v>
      </c>
      <c r="K917" t="str">
        <f>IF(RetailSales[[#This Row],[Age]]&lt;30,"Young Adult",IF(RetailSales[[#This Row],[Age]]&lt;50,"Adult","Senior"))</f>
        <v>Adult</v>
      </c>
      <c r="L917" t="str">
        <f>_xlfn.CONCAT(I917,"_",RetailSales[[#This Row],[Product Category]])</f>
        <v>50_Electronics</v>
      </c>
    </row>
    <row r="918" spans="1:12">
      <c r="A918">
        <v>917</v>
      </c>
      <c r="B918">
        <v>44991</v>
      </c>
      <c r="C918" t="s">
        <v>945</v>
      </c>
      <c r="D918" t="s">
        <v>17</v>
      </c>
      <c r="E918">
        <v>57</v>
      </c>
      <c r="F918" t="s">
        <v>20</v>
      </c>
      <c r="G918">
        <v>4</v>
      </c>
      <c r="H918">
        <v>50</v>
      </c>
      <c r="I918">
        <f t="shared" si="28"/>
        <v>200</v>
      </c>
      <c r="J918" s="4">
        <f t="shared" si="29"/>
        <v>3</v>
      </c>
      <c r="K918" t="str">
        <f>IF(RetailSales[[#This Row],[Age]]&lt;30,"Young Adult",IF(RetailSales[[#This Row],[Age]]&lt;50,"Adult","Senior"))</f>
        <v>Senior</v>
      </c>
      <c r="L918" t="str">
        <f>_xlfn.CONCAT(I918,"_",RetailSales[[#This Row],[Product Category]])</f>
        <v>200_Electronics</v>
      </c>
    </row>
    <row r="919" spans="1:12">
      <c r="A919">
        <v>918</v>
      </c>
      <c r="B919">
        <v>45253</v>
      </c>
      <c r="C919" t="s">
        <v>946</v>
      </c>
      <c r="D919" t="s">
        <v>17</v>
      </c>
      <c r="E919">
        <v>42</v>
      </c>
      <c r="F919" t="s">
        <v>20</v>
      </c>
      <c r="G919">
        <v>3</v>
      </c>
      <c r="H919">
        <v>30</v>
      </c>
      <c r="I919">
        <f t="shared" si="28"/>
        <v>90</v>
      </c>
      <c r="J919" s="4">
        <f t="shared" si="29"/>
        <v>1.3499999999999999</v>
      </c>
      <c r="K919" t="str">
        <f>IF(RetailSales[[#This Row],[Age]]&lt;30,"Young Adult",IF(RetailSales[[#This Row],[Age]]&lt;50,"Adult","Senior"))</f>
        <v>Adult</v>
      </c>
      <c r="L919" t="str">
        <f>_xlfn.CONCAT(I919,"_",RetailSales[[#This Row],[Product Category]])</f>
        <v>90_Electronics</v>
      </c>
    </row>
    <row r="920" spans="1:12">
      <c r="A920">
        <v>919</v>
      </c>
      <c r="B920">
        <v>45178</v>
      </c>
      <c r="C920" t="s">
        <v>947</v>
      </c>
      <c r="D920" t="s">
        <v>17</v>
      </c>
      <c r="E920">
        <v>22</v>
      </c>
      <c r="F920" t="s">
        <v>14</v>
      </c>
      <c r="G920">
        <v>2</v>
      </c>
      <c r="H920">
        <v>25</v>
      </c>
      <c r="I920">
        <f t="shared" si="28"/>
        <v>50</v>
      </c>
      <c r="J920" s="4">
        <f t="shared" si="29"/>
        <v>0.75</v>
      </c>
      <c r="K920" t="str">
        <f>IF(RetailSales[[#This Row],[Age]]&lt;30,"Young Adult",IF(RetailSales[[#This Row],[Age]]&lt;50,"Adult","Senior"))</f>
        <v>Young Adult</v>
      </c>
      <c r="L920" t="str">
        <f>_xlfn.CONCAT(I920,"_",RetailSales[[#This Row],[Product Category]])</f>
        <v>50_Beauty</v>
      </c>
    </row>
    <row r="921" spans="1:12">
      <c r="A921">
        <v>920</v>
      </c>
      <c r="B921">
        <v>44979</v>
      </c>
      <c r="C921" t="s">
        <v>948</v>
      </c>
      <c r="D921" t="s">
        <v>17</v>
      </c>
      <c r="E921">
        <v>28</v>
      </c>
      <c r="F921" t="s">
        <v>14</v>
      </c>
      <c r="G921">
        <v>3</v>
      </c>
      <c r="H921">
        <v>25</v>
      </c>
      <c r="I921">
        <f t="shared" si="28"/>
        <v>75</v>
      </c>
      <c r="J921" s="4">
        <f t="shared" si="29"/>
        <v>1.125</v>
      </c>
      <c r="K921" t="str">
        <f>IF(RetailSales[[#This Row],[Age]]&lt;30,"Young Adult",IF(RetailSales[[#This Row],[Age]]&lt;50,"Adult","Senior"))</f>
        <v>Young Adult</v>
      </c>
      <c r="L921" t="str">
        <f>_xlfn.CONCAT(I921,"_",RetailSales[[#This Row],[Product Category]])</f>
        <v>75_Beauty</v>
      </c>
    </row>
    <row r="922" spans="1:12">
      <c r="A922">
        <v>921</v>
      </c>
      <c r="B922">
        <v>44933</v>
      </c>
      <c r="C922" t="s">
        <v>949</v>
      </c>
      <c r="D922" t="s">
        <v>13</v>
      </c>
      <c r="E922">
        <v>51</v>
      </c>
      <c r="F922" t="s">
        <v>20</v>
      </c>
      <c r="G922">
        <v>3</v>
      </c>
      <c r="H922">
        <v>25</v>
      </c>
      <c r="I922">
        <f t="shared" si="28"/>
        <v>75</v>
      </c>
      <c r="J922" s="4">
        <f t="shared" si="29"/>
        <v>1.125</v>
      </c>
      <c r="K922" t="str">
        <f>IF(RetailSales[[#This Row],[Age]]&lt;30,"Young Adult",IF(RetailSales[[#This Row],[Age]]&lt;50,"Adult","Senior"))</f>
        <v>Senior</v>
      </c>
      <c r="L922" t="str">
        <f>_xlfn.CONCAT(I922,"_",RetailSales[[#This Row],[Product Category]])</f>
        <v>75_Electronics</v>
      </c>
    </row>
    <row r="923" spans="1:12">
      <c r="A923">
        <v>922</v>
      </c>
      <c r="B923">
        <v>45220</v>
      </c>
      <c r="C923" t="s">
        <v>950</v>
      </c>
      <c r="D923" t="s">
        <v>13</v>
      </c>
      <c r="E923">
        <v>41</v>
      </c>
      <c r="F923" t="s">
        <v>20</v>
      </c>
      <c r="G923">
        <v>1</v>
      </c>
      <c r="H923">
        <v>50</v>
      </c>
      <c r="I923">
        <f t="shared" si="28"/>
        <v>50</v>
      </c>
      <c r="J923" s="4">
        <f t="shared" si="29"/>
        <v>0.75</v>
      </c>
      <c r="K923" t="str">
        <f>IF(RetailSales[[#This Row],[Age]]&lt;30,"Young Adult",IF(RetailSales[[#This Row],[Age]]&lt;50,"Adult","Senior"))</f>
        <v>Adult</v>
      </c>
      <c r="L923" t="str">
        <f>_xlfn.CONCAT(I923,"_",RetailSales[[#This Row],[Product Category]])</f>
        <v>50_Electronics</v>
      </c>
    </row>
    <row r="924" spans="1:12">
      <c r="A924">
        <v>923</v>
      </c>
      <c r="B924">
        <v>45072</v>
      </c>
      <c r="C924" t="s">
        <v>951</v>
      </c>
      <c r="D924" t="s">
        <v>13</v>
      </c>
      <c r="E924">
        <v>32</v>
      </c>
      <c r="F924" t="s">
        <v>14</v>
      </c>
      <c r="G924">
        <v>3</v>
      </c>
      <c r="H924">
        <v>300</v>
      </c>
      <c r="I924">
        <f t="shared" si="28"/>
        <v>900</v>
      </c>
      <c r="J924" s="4">
        <f t="shared" si="29"/>
        <v>13.5</v>
      </c>
      <c r="K924" t="str">
        <f>IF(RetailSales[[#This Row],[Age]]&lt;30,"Young Adult",IF(RetailSales[[#This Row],[Age]]&lt;50,"Adult","Senior"))</f>
        <v>Adult</v>
      </c>
      <c r="L924" t="str">
        <f>_xlfn.CONCAT(I924,"_",RetailSales[[#This Row],[Product Category]])</f>
        <v>900_Beauty</v>
      </c>
    </row>
    <row r="925" spans="1:12">
      <c r="A925">
        <v>924</v>
      </c>
      <c r="B925">
        <v>45167</v>
      </c>
      <c r="C925" t="s">
        <v>952</v>
      </c>
      <c r="D925" t="s">
        <v>13</v>
      </c>
      <c r="E925">
        <v>55</v>
      </c>
      <c r="F925" t="s">
        <v>14</v>
      </c>
      <c r="G925">
        <v>2</v>
      </c>
      <c r="H925">
        <v>50</v>
      </c>
      <c r="I925">
        <f t="shared" si="28"/>
        <v>100</v>
      </c>
      <c r="J925" s="4">
        <f t="shared" si="29"/>
        <v>1.5</v>
      </c>
      <c r="K925" t="str">
        <f>IF(RetailSales[[#This Row],[Age]]&lt;30,"Young Adult",IF(RetailSales[[#This Row],[Age]]&lt;50,"Adult","Senior"))</f>
        <v>Senior</v>
      </c>
      <c r="L925" t="str">
        <f>_xlfn.CONCAT(I925,"_",RetailSales[[#This Row],[Product Category]])</f>
        <v>100_Beauty</v>
      </c>
    </row>
    <row r="926" spans="1:12">
      <c r="A926">
        <v>925</v>
      </c>
      <c r="B926">
        <v>45172</v>
      </c>
      <c r="C926" t="s">
        <v>953</v>
      </c>
      <c r="D926" t="s">
        <v>13</v>
      </c>
      <c r="E926">
        <v>25</v>
      </c>
      <c r="F926" t="s">
        <v>20</v>
      </c>
      <c r="G926">
        <v>1</v>
      </c>
      <c r="H926">
        <v>300</v>
      </c>
      <c r="I926">
        <f t="shared" si="28"/>
        <v>300</v>
      </c>
      <c r="J926" s="4">
        <f t="shared" si="29"/>
        <v>4.5</v>
      </c>
      <c r="K926" t="str">
        <f>IF(RetailSales[[#This Row],[Age]]&lt;30,"Young Adult",IF(RetailSales[[#This Row],[Age]]&lt;50,"Adult","Senior"))</f>
        <v>Young Adult</v>
      </c>
      <c r="L926" t="str">
        <f>_xlfn.CONCAT(I926,"_",RetailSales[[#This Row],[Product Category]])</f>
        <v>300_Electronics</v>
      </c>
    </row>
    <row r="927" spans="1:12">
      <c r="A927">
        <v>926</v>
      </c>
      <c r="B927">
        <v>45152</v>
      </c>
      <c r="C927" t="s">
        <v>954</v>
      </c>
      <c r="D927" t="s">
        <v>13</v>
      </c>
      <c r="E927">
        <v>22</v>
      </c>
      <c r="F927" t="s">
        <v>20</v>
      </c>
      <c r="G927">
        <v>1</v>
      </c>
      <c r="H927">
        <v>30</v>
      </c>
      <c r="I927">
        <f t="shared" si="28"/>
        <v>30</v>
      </c>
      <c r="J927" s="4">
        <f t="shared" si="29"/>
        <v>0.44999999999999996</v>
      </c>
      <c r="K927" t="str">
        <f>IF(RetailSales[[#This Row],[Age]]&lt;30,"Young Adult",IF(RetailSales[[#This Row],[Age]]&lt;50,"Adult","Senior"))</f>
        <v>Young Adult</v>
      </c>
      <c r="L927" t="str">
        <f>_xlfn.CONCAT(I927,"_",RetailSales[[#This Row],[Product Category]])</f>
        <v>30_Electronics</v>
      </c>
    </row>
    <row r="928" spans="1:12">
      <c r="A928">
        <v>927</v>
      </c>
      <c r="B928">
        <v>45101</v>
      </c>
      <c r="C928" t="s">
        <v>955</v>
      </c>
      <c r="D928" t="s">
        <v>13</v>
      </c>
      <c r="E928">
        <v>43</v>
      </c>
      <c r="F928" t="s">
        <v>20</v>
      </c>
      <c r="G928">
        <v>4</v>
      </c>
      <c r="H928">
        <v>500</v>
      </c>
      <c r="I928">
        <f t="shared" si="28"/>
        <v>2000</v>
      </c>
      <c r="J928" s="4">
        <f t="shared" si="29"/>
        <v>30</v>
      </c>
      <c r="K928" t="str">
        <f>IF(RetailSales[[#This Row],[Age]]&lt;30,"Young Adult",IF(RetailSales[[#This Row],[Age]]&lt;50,"Adult","Senior"))</f>
        <v>Adult</v>
      </c>
      <c r="L928" t="str">
        <f>_xlfn.CONCAT(I928,"_",RetailSales[[#This Row],[Product Category]])</f>
        <v>2000_Electronics</v>
      </c>
    </row>
    <row r="929" spans="1:12">
      <c r="A929">
        <v>928</v>
      </c>
      <c r="B929">
        <v>45021</v>
      </c>
      <c r="C929" t="s">
        <v>956</v>
      </c>
      <c r="D929" t="s">
        <v>17</v>
      </c>
      <c r="E929">
        <v>35</v>
      </c>
      <c r="F929" t="s">
        <v>18</v>
      </c>
      <c r="G929">
        <v>4</v>
      </c>
      <c r="H929">
        <v>300</v>
      </c>
      <c r="I929">
        <f t="shared" si="28"/>
        <v>1200</v>
      </c>
      <c r="J929" s="4">
        <f t="shared" si="29"/>
        <v>18</v>
      </c>
      <c r="K929" t="str">
        <f>IF(RetailSales[[#This Row],[Age]]&lt;30,"Young Adult",IF(RetailSales[[#This Row],[Age]]&lt;50,"Adult","Senior"))</f>
        <v>Adult</v>
      </c>
      <c r="L929" t="str">
        <f>_xlfn.CONCAT(I929,"_",RetailSales[[#This Row],[Product Category]])</f>
        <v>1200_Clothing</v>
      </c>
    </row>
    <row r="930" spans="1:12">
      <c r="A930">
        <v>929</v>
      </c>
      <c r="B930">
        <v>44953</v>
      </c>
      <c r="C930" t="s">
        <v>957</v>
      </c>
      <c r="D930" t="s">
        <v>17</v>
      </c>
      <c r="E930">
        <v>23</v>
      </c>
      <c r="F930" t="s">
        <v>14</v>
      </c>
      <c r="G930">
        <v>3</v>
      </c>
      <c r="H930">
        <v>25</v>
      </c>
      <c r="I930">
        <f t="shared" si="28"/>
        <v>75</v>
      </c>
      <c r="J930" s="4">
        <f t="shared" si="29"/>
        <v>1.125</v>
      </c>
      <c r="K930" t="str">
        <f>IF(RetailSales[[#This Row],[Age]]&lt;30,"Young Adult",IF(RetailSales[[#This Row],[Age]]&lt;50,"Adult","Senior"))</f>
        <v>Young Adult</v>
      </c>
      <c r="L930" t="str">
        <f>_xlfn.CONCAT(I930,"_",RetailSales[[#This Row],[Product Category]])</f>
        <v>75_Beauty</v>
      </c>
    </row>
    <row r="931" spans="1:12">
      <c r="A931">
        <v>930</v>
      </c>
      <c r="B931">
        <v>45056</v>
      </c>
      <c r="C931" t="s">
        <v>958</v>
      </c>
      <c r="D931" t="s">
        <v>13</v>
      </c>
      <c r="E931">
        <v>54</v>
      </c>
      <c r="F931" t="s">
        <v>18</v>
      </c>
      <c r="G931">
        <v>4</v>
      </c>
      <c r="H931">
        <v>50</v>
      </c>
      <c r="I931">
        <f t="shared" si="28"/>
        <v>200</v>
      </c>
      <c r="J931" s="4">
        <f t="shared" si="29"/>
        <v>3</v>
      </c>
      <c r="K931" t="str">
        <f>IF(RetailSales[[#This Row],[Age]]&lt;30,"Young Adult",IF(RetailSales[[#This Row],[Age]]&lt;50,"Adult","Senior"))</f>
        <v>Senior</v>
      </c>
      <c r="L931" t="str">
        <f>_xlfn.CONCAT(I931,"_",RetailSales[[#This Row],[Product Category]])</f>
        <v>200_Clothing</v>
      </c>
    </row>
    <row r="932" spans="1:12">
      <c r="A932">
        <v>931</v>
      </c>
      <c r="B932">
        <v>45171</v>
      </c>
      <c r="C932" t="s">
        <v>959</v>
      </c>
      <c r="D932" t="s">
        <v>13</v>
      </c>
      <c r="E932">
        <v>30</v>
      </c>
      <c r="F932" t="s">
        <v>14</v>
      </c>
      <c r="G932">
        <v>4</v>
      </c>
      <c r="H932">
        <v>30</v>
      </c>
      <c r="I932">
        <f t="shared" si="28"/>
        <v>120</v>
      </c>
      <c r="J932" s="4">
        <f t="shared" si="29"/>
        <v>1.7999999999999998</v>
      </c>
      <c r="K932" t="str">
        <f>IF(RetailSales[[#This Row],[Age]]&lt;30,"Young Adult",IF(RetailSales[[#This Row],[Age]]&lt;50,"Adult","Senior"))</f>
        <v>Adult</v>
      </c>
      <c r="L932" t="str">
        <f>_xlfn.CONCAT(I932,"_",RetailSales[[#This Row],[Product Category]])</f>
        <v>120_Beauty</v>
      </c>
    </row>
    <row r="933" spans="1:12">
      <c r="A933">
        <v>932</v>
      </c>
      <c r="B933">
        <v>44985</v>
      </c>
      <c r="C933" t="s">
        <v>960</v>
      </c>
      <c r="D933" t="s">
        <v>17</v>
      </c>
      <c r="E933">
        <v>45</v>
      </c>
      <c r="F933" t="s">
        <v>14</v>
      </c>
      <c r="G933">
        <v>4</v>
      </c>
      <c r="H933">
        <v>25</v>
      </c>
      <c r="I933">
        <f t="shared" si="28"/>
        <v>100</v>
      </c>
      <c r="J933" s="4">
        <f t="shared" si="29"/>
        <v>1.5</v>
      </c>
      <c r="K933" t="str">
        <f>IF(RetailSales[[#This Row],[Age]]&lt;30,"Young Adult",IF(RetailSales[[#This Row],[Age]]&lt;50,"Adult","Senior"))</f>
        <v>Adult</v>
      </c>
      <c r="L933" t="str">
        <f>_xlfn.CONCAT(I933,"_",RetailSales[[#This Row],[Product Category]])</f>
        <v>100_Beauty</v>
      </c>
    </row>
    <row r="934" spans="1:12">
      <c r="A934">
        <v>933</v>
      </c>
      <c r="B934">
        <v>44960</v>
      </c>
      <c r="C934" t="s">
        <v>961</v>
      </c>
      <c r="D934" t="s">
        <v>13</v>
      </c>
      <c r="E934">
        <v>22</v>
      </c>
      <c r="F934" t="s">
        <v>14</v>
      </c>
      <c r="G934">
        <v>1</v>
      </c>
      <c r="H934">
        <v>30</v>
      </c>
      <c r="I934">
        <f t="shared" si="28"/>
        <v>30</v>
      </c>
      <c r="J934" s="4">
        <f t="shared" si="29"/>
        <v>0.44999999999999996</v>
      </c>
      <c r="K934" t="str">
        <f>IF(RetailSales[[#This Row],[Age]]&lt;30,"Young Adult",IF(RetailSales[[#This Row],[Age]]&lt;50,"Adult","Senior"))</f>
        <v>Young Adult</v>
      </c>
      <c r="L934" t="str">
        <f>_xlfn.CONCAT(I934,"_",RetailSales[[#This Row],[Product Category]])</f>
        <v>30_Beauty</v>
      </c>
    </row>
    <row r="935" spans="1:12">
      <c r="A935">
        <v>934</v>
      </c>
      <c r="B935">
        <v>45132</v>
      </c>
      <c r="C935" t="s">
        <v>962</v>
      </c>
      <c r="D935" t="s">
        <v>13</v>
      </c>
      <c r="E935">
        <v>30</v>
      </c>
      <c r="F935" t="s">
        <v>14</v>
      </c>
      <c r="G935">
        <v>1</v>
      </c>
      <c r="H935">
        <v>500</v>
      </c>
      <c r="I935">
        <f t="shared" si="28"/>
        <v>500</v>
      </c>
      <c r="J935" s="4">
        <f t="shared" si="29"/>
        <v>7.5</v>
      </c>
      <c r="K935" t="str">
        <f>IF(RetailSales[[#This Row],[Age]]&lt;30,"Young Adult",IF(RetailSales[[#This Row],[Age]]&lt;50,"Adult","Senior"))</f>
        <v>Adult</v>
      </c>
      <c r="L935" t="str">
        <f>_xlfn.CONCAT(I935,"_",RetailSales[[#This Row],[Product Category]])</f>
        <v>500_Beauty</v>
      </c>
    </row>
    <row r="936" spans="1:12">
      <c r="A936">
        <v>935</v>
      </c>
      <c r="B936">
        <v>45178</v>
      </c>
      <c r="C936" t="s">
        <v>963</v>
      </c>
      <c r="D936" t="s">
        <v>17</v>
      </c>
      <c r="E936">
        <v>34</v>
      </c>
      <c r="F936" t="s">
        <v>14</v>
      </c>
      <c r="G936">
        <v>1</v>
      </c>
      <c r="H936">
        <v>50</v>
      </c>
      <c r="I936">
        <f t="shared" si="28"/>
        <v>50</v>
      </c>
      <c r="J936" s="4">
        <f t="shared" si="29"/>
        <v>0.75</v>
      </c>
      <c r="K936" t="str">
        <f>IF(RetailSales[[#This Row],[Age]]&lt;30,"Young Adult",IF(RetailSales[[#This Row],[Age]]&lt;50,"Adult","Senior"))</f>
        <v>Adult</v>
      </c>
      <c r="L936" t="str">
        <f>_xlfn.CONCAT(I936,"_",RetailSales[[#This Row],[Product Category]])</f>
        <v>50_Beauty</v>
      </c>
    </row>
    <row r="937" spans="1:12">
      <c r="A937">
        <v>936</v>
      </c>
      <c r="B937">
        <v>44964</v>
      </c>
      <c r="C937" t="s">
        <v>964</v>
      </c>
      <c r="D937" t="s">
        <v>13</v>
      </c>
      <c r="E937">
        <v>57</v>
      </c>
      <c r="F937" t="s">
        <v>14</v>
      </c>
      <c r="G937">
        <v>4</v>
      </c>
      <c r="H937">
        <v>50</v>
      </c>
      <c r="I937">
        <f t="shared" si="28"/>
        <v>200</v>
      </c>
      <c r="J937" s="4">
        <f t="shared" si="29"/>
        <v>3</v>
      </c>
      <c r="K937" t="str">
        <f>IF(RetailSales[[#This Row],[Age]]&lt;30,"Young Adult",IF(RetailSales[[#This Row],[Age]]&lt;50,"Adult","Senior"))</f>
        <v>Senior</v>
      </c>
      <c r="L937" t="str">
        <f>_xlfn.CONCAT(I937,"_",RetailSales[[#This Row],[Product Category]])</f>
        <v>200_Beauty</v>
      </c>
    </row>
    <row r="938" spans="1:12">
      <c r="A938">
        <v>937</v>
      </c>
      <c r="B938">
        <v>45222</v>
      </c>
      <c r="C938" t="s">
        <v>965</v>
      </c>
      <c r="D938" t="s">
        <v>17</v>
      </c>
      <c r="E938">
        <v>62</v>
      </c>
      <c r="F938" t="s">
        <v>14</v>
      </c>
      <c r="G938">
        <v>1</v>
      </c>
      <c r="H938">
        <v>500</v>
      </c>
      <c r="I938">
        <f t="shared" si="28"/>
        <v>500</v>
      </c>
      <c r="J938" s="4">
        <f t="shared" si="29"/>
        <v>7.5</v>
      </c>
      <c r="K938" t="str">
        <f>IF(RetailSales[[#This Row],[Age]]&lt;30,"Young Adult",IF(RetailSales[[#This Row],[Age]]&lt;50,"Adult","Senior"))</f>
        <v>Senior</v>
      </c>
      <c r="L938" t="str">
        <f>_xlfn.CONCAT(I938,"_",RetailSales[[#This Row],[Product Category]])</f>
        <v>500_Beauty</v>
      </c>
    </row>
    <row r="939" spans="1:12">
      <c r="A939">
        <v>938</v>
      </c>
      <c r="B939">
        <v>45249</v>
      </c>
      <c r="C939" t="s">
        <v>966</v>
      </c>
      <c r="D939" t="s">
        <v>13</v>
      </c>
      <c r="E939">
        <v>49</v>
      </c>
      <c r="F939" t="s">
        <v>18</v>
      </c>
      <c r="G939">
        <v>4</v>
      </c>
      <c r="H939">
        <v>50</v>
      </c>
      <c r="I939">
        <f t="shared" si="28"/>
        <v>200</v>
      </c>
      <c r="J939" s="4">
        <f t="shared" si="29"/>
        <v>3</v>
      </c>
      <c r="K939" t="str">
        <f>IF(RetailSales[[#This Row],[Age]]&lt;30,"Young Adult",IF(RetailSales[[#This Row],[Age]]&lt;50,"Adult","Senior"))</f>
        <v>Adult</v>
      </c>
      <c r="L939" t="str">
        <f>_xlfn.CONCAT(I939,"_",RetailSales[[#This Row],[Product Category]])</f>
        <v>200_Clothing</v>
      </c>
    </row>
    <row r="940" spans="1:12">
      <c r="A940">
        <v>939</v>
      </c>
      <c r="B940">
        <v>45278</v>
      </c>
      <c r="C940" t="s">
        <v>967</v>
      </c>
      <c r="D940" t="s">
        <v>17</v>
      </c>
      <c r="E940">
        <v>46</v>
      </c>
      <c r="F940" t="s">
        <v>20</v>
      </c>
      <c r="G940">
        <v>1</v>
      </c>
      <c r="H940">
        <v>300</v>
      </c>
      <c r="I940">
        <f t="shared" si="28"/>
        <v>300</v>
      </c>
      <c r="J940" s="4">
        <f t="shared" si="29"/>
        <v>4.5</v>
      </c>
      <c r="K940" t="str">
        <f>IF(RetailSales[[#This Row],[Age]]&lt;30,"Young Adult",IF(RetailSales[[#This Row],[Age]]&lt;50,"Adult","Senior"))</f>
        <v>Adult</v>
      </c>
      <c r="L940" t="str">
        <f>_xlfn.CONCAT(I940,"_",RetailSales[[#This Row],[Product Category]])</f>
        <v>300_Electronics</v>
      </c>
    </row>
    <row r="941" spans="1:12">
      <c r="A941">
        <v>940</v>
      </c>
      <c r="B941">
        <v>44954</v>
      </c>
      <c r="C941" t="s">
        <v>968</v>
      </c>
      <c r="D941" t="s">
        <v>17</v>
      </c>
      <c r="E941">
        <v>20</v>
      </c>
      <c r="F941" t="s">
        <v>20</v>
      </c>
      <c r="G941">
        <v>1</v>
      </c>
      <c r="H941">
        <v>30</v>
      </c>
      <c r="I941">
        <f t="shared" si="28"/>
        <v>30</v>
      </c>
      <c r="J941" s="4">
        <f t="shared" si="29"/>
        <v>0.44999999999999996</v>
      </c>
      <c r="K941" t="str">
        <f>IF(RetailSales[[#This Row],[Age]]&lt;30,"Young Adult",IF(RetailSales[[#This Row],[Age]]&lt;50,"Adult","Senior"))</f>
        <v>Young Adult</v>
      </c>
      <c r="L941" t="str">
        <f>_xlfn.CONCAT(I941,"_",RetailSales[[#This Row],[Product Category]])</f>
        <v>30_Electronics</v>
      </c>
    </row>
    <row r="942" spans="1:12">
      <c r="A942">
        <v>941</v>
      </c>
      <c r="B942">
        <v>45004</v>
      </c>
      <c r="C942" t="s">
        <v>969</v>
      </c>
      <c r="D942" t="s">
        <v>17</v>
      </c>
      <c r="E942">
        <v>57</v>
      </c>
      <c r="F942" t="s">
        <v>18</v>
      </c>
      <c r="G942">
        <v>2</v>
      </c>
      <c r="H942">
        <v>25</v>
      </c>
      <c r="I942">
        <f t="shared" si="28"/>
        <v>50</v>
      </c>
      <c r="J942" s="4">
        <f t="shared" si="29"/>
        <v>0.75</v>
      </c>
      <c r="K942" t="str">
        <f>IF(RetailSales[[#This Row],[Age]]&lt;30,"Young Adult",IF(RetailSales[[#This Row],[Age]]&lt;50,"Adult","Senior"))</f>
        <v>Senior</v>
      </c>
      <c r="L942" t="str">
        <f>_xlfn.CONCAT(I942,"_",RetailSales[[#This Row],[Product Category]])</f>
        <v>50_Clothing</v>
      </c>
    </row>
    <row r="943" spans="1:12">
      <c r="A943">
        <v>942</v>
      </c>
      <c r="B943">
        <v>45003</v>
      </c>
      <c r="C943" t="s">
        <v>970</v>
      </c>
      <c r="D943" t="s">
        <v>13</v>
      </c>
      <c r="E943">
        <v>51</v>
      </c>
      <c r="F943" t="s">
        <v>18</v>
      </c>
      <c r="G943">
        <v>3</v>
      </c>
      <c r="H943">
        <v>500</v>
      </c>
      <c r="I943">
        <f t="shared" si="28"/>
        <v>1500</v>
      </c>
      <c r="J943" s="4">
        <f t="shared" si="29"/>
        <v>22.5</v>
      </c>
      <c r="K943" t="str">
        <f>IF(RetailSales[[#This Row],[Age]]&lt;30,"Young Adult",IF(RetailSales[[#This Row],[Age]]&lt;50,"Adult","Senior"))</f>
        <v>Senior</v>
      </c>
      <c r="L943" t="str">
        <f>_xlfn.CONCAT(I943,"_",RetailSales[[#This Row],[Product Category]])</f>
        <v>1500_Clothing</v>
      </c>
    </row>
    <row r="944" spans="1:12">
      <c r="A944">
        <v>943</v>
      </c>
      <c r="B944">
        <v>45215</v>
      </c>
      <c r="C944" t="s">
        <v>971</v>
      </c>
      <c r="D944" t="s">
        <v>17</v>
      </c>
      <c r="E944">
        <v>57</v>
      </c>
      <c r="F944" t="s">
        <v>18</v>
      </c>
      <c r="G944">
        <v>4</v>
      </c>
      <c r="H944">
        <v>300</v>
      </c>
      <c r="I944">
        <f t="shared" si="28"/>
        <v>1200</v>
      </c>
      <c r="J944" s="4">
        <f t="shared" si="29"/>
        <v>18</v>
      </c>
      <c r="K944" t="str">
        <f>IF(RetailSales[[#This Row],[Age]]&lt;30,"Young Adult",IF(RetailSales[[#This Row],[Age]]&lt;50,"Adult","Senior"))</f>
        <v>Senior</v>
      </c>
      <c r="L944" t="str">
        <f>_xlfn.CONCAT(I944,"_",RetailSales[[#This Row],[Product Category]])</f>
        <v>1200_Clothing</v>
      </c>
    </row>
    <row r="945" spans="1:12">
      <c r="A945">
        <v>944</v>
      </c>
      <c r="B945">
        <v>45082</v>
      </c>
      <c r="C945" t="s">
        <v>972</v>
      </c>
      <c r="D945" t="s">
        <v>13</v>
      </c>
      <c r="E945">
        <v>44</v>
      </c>
      <c r="F945" t="s">
        <v>18</v>
      </c>
      <c r="G945">
        <v>2</v>
      </c>
      <c r="H945">
        <v>25</v>
      </c>
      <c r="I945">
        <f t="shared" si="28"/>
        <v>50</v>
      </c>
      <c r="J945" s="4">
        <f t="shared" si="29"/>
        <v>0.75</v>
      </c>
      <c r="K945" t="str">
        <f>IF(RetailSales[[#This Row],[Age]]&lt;30,"Young Adult",IF(RetailSales[[#This Row],[Age]]&lt;50,"Adult","Senior"))</f>
        <v>Adult</v>
      </c>
      <c r="L945" t="str">
        <f>_xlfn.CONCAT(I945,"_",RetailSales[[#This Row],[Product Category]])</f>
        <v>50_Clothing</v>
      </c>
    </row>
    <row r="946" spans="1:12">
      <c r="A946">
        <v>945</v>
      </c>
      <c r="B946">
        <v>44970</v>
      </c>
      <c r="C946" t="s">
        <v>973</v>
      </c>
      <c r="D946" t="s">
        <v>13</v>
      </c>
      <c r="E946">
        <v>30</v>
      </c>
      <c r="F946" t="s">
        <v>14</v>
      </c>
      <c r="G946">
        <v>1</v>
      </c>
      <c r="H946">
        <v>25</v>
      </c>
      <c r="I946">
        <f t="shared" si="28"/>
        <v>25</v>
      </c>
      <c r="J946" s="4">
        <f t="shared" si="29"/>
        <v>0.375</v>
      </c>
      <c r="K946" t="str">
        <f>IF(RetailSales[[#This Row],[Age]]&lt;30,"Young Adult",IF(RetailSales[[#This Row],[Age]]&lt;50,"Adult","Senior"))</f>
        <v>Adult</v>
      </c>
      <c r="L946" t="str">
        <f>_xlfn.CONCAT(I946,"_",RetailSales[[#This Row],[Product Category]])</f>
        <v>25_Beauty</v>
      </c>
    </row>
    <row r="947" spans="1:12">
      <c r="A947">
        <v>946</v>
      </c>
      <c r="B947">
        <v>45054</v>
      </c>
      <c r="C947" t="s">
        <v>974</v>
      </c>
      <c r="D947" t="s">
        <v>13</v>
      </c>
      <c r="E947">
        <v>62</v>
      </c>
      <c r="F947" t="s">
        <v>20</v>
      </c>
      <c r="G947">
        <v>4</v>
      </c>
      <c r="H947">
        <v>500</v>
      </c>
      <c r="I947">
        <f t="shared" si="28"/>
        <v>2000</v>
      </c>
      <c r="J947" s="4">
        <f t="shared" si="29"/>
        <v>30</v>
      </c>
      <c r="K947" t="str">
        <f>IF(RetailSales[[#This Row],[Age]]&lt;30,"Young Adult",IF(RetailSales[[#This Row],[Age]]&lt;50,"Adult","Senior"))</f>
        <v>Senior</v>
      </c>
      <c r="L947" t="str">
        <f>_xlfn.CONCAT(I947,"_",RetailSales[[#This Row],[Product Category]])</f>
        <v>2000_Electronics</v>
      </c>
    </row>
    <row r="948" spans="1:12">
      <c r="A948">
        <v>947</v>
      </c>
      <c r="B948">
        <v>44987</v>
      </c>
      <c r="C948" t="s">
        <v>975</v>
      </c>
      <c r="D948" t="s">
        <v>13</v>
      </c>
      <c r="E948">
        <v>50</v>
      </c>
      <c r="F948" t="s">
        <v>14</v>
      </c>
      <c r="G948">
        <v>1</v>
      </c>
      <c r="H948">
        <v>300</v>
      </c>
      <c r="I948">
        <f t="shared" si="28"/>
        <v>300</v>
      </c>
      <c r="J948" s="4">
        <f t="shared" si="29"/>
        <v>4.5</v>
      </c>
      <c r="K948" t="str">
        <f>IF(RetailSales[[#This Row],[Age]]&lt;30,"Young Adult",IF(RetailSales[[#This Row],[Age]]&lt;50,"Adult","Senior"))</f>
        <v>Senior</v>
      </c>
      <c r="L948" t="str">
        <f>_xlfn.CONCAT(I948,"_",RetailSales[[#This Row],[Product Category]])</f>
        <v>300_Beauty</v>
      </c>
    </row>
    <row r="949" spans="1:12">
      <c r="A949">
        <v>948</v>
      </c>
      <c r="B949">
        <v>45212</v>
      </c>
      <c r="C949" t="s">
        <v>976</v>
      </c>
      <c r="D949" t="s">
        <v>17</v>
      </c>
      <c r="E949">
        <v>23</v>
      </c>
      <c r="F949" t="s">
        <v>20</v>
      </c>
      <c r="G949">
        <v>3</v>
      </c>
      <c r="H949">
        <v>25</v>
      </c>
      <c r="I949">
        <f t="shared" si="28"/>
        <v>75</v>
      </c>
      <c r="J949" s="4">
        <f t="shared" si="29"/>
        <v>1.125</v>
      </c>
      <c r="K949" t="str">
        <f>IF(RetailSales[[#This Row],[Age]]&lt;30,"Young Adult",IF(RetailSales[[#This Row],[Age]]&lt;50,"Adult","Senior"))</f>
        <v>Young Adult</v>
      </c>
      <c r="L949" t="str">
        <f>_xlfn.CONCAT(I949,"_",RetailSales[[#This Row],[Product Category]])</f>
        <v>75_Electronics</v>
      </c>
    </row>
    <row r="950" spans="1:12">
      <c r="A950">
        <v>949</v>
      </c>
      <c r="B950">
        <v>45140</v>
      </c>
      <c r="C950" t="s">
        <v>977</v>
      </c>
      <c r="D950" t="s">
        <v>17</v>
      </c>
      <c r="E950">
        <v>41</v>
      </c>
      <c r="F950" t="s">
        <v>20</v>
      </c>
      <c r="G950">
        <v>2</v>
      </c>
      <c r="H950">
        <v>25</v>
      </c>
      <c r="I950">
        <f t="shared" si="28"/>
        <v>50</v>
      </c>
      <c r="J950" s="4">
        <f t="shared" si="29"/>
        <v>0.75</v>
      </c>
      <c r="K950" t="str">
        <f>IF(RetailSales[[#This Row],[Age]]&lt;30,"Young Adult",IF(RetailSales[[#This Row],[Age]]&lt;50,"Adult","Senior"))</f>
        <v>Adult</v>
      </c>
      <c r="L950" t="str">
        <f>_xlfn.CONCAT(I950,"_",RetailSales[[#This Row],[Product Category]])</f>
        <v>50_Electronics</v>
      </c>
    </row>
    <row r="951" spans="1:12">
      <c r="A951">
        <v>950</v>
      </c>
      <c r="B951">
        <v>45237</v>
      </c>
      <c r="C951" t="s">
        <v>978</v>
      </c>
      <c r="D951" t="s">
        <v>13</v>
      </c>
      <c r="E951">
        <v>36</v>
      </c>
      <c r="F951" t="s">
        <v>18</v>
      </c>
      <c r="G951">
        <v>3</v>
      </c>
      <c r="H951">
        <v>300</v>
      </c>
      <c r="I951">
        <f t="shared" si="28"/>
        <v>900</v>
      </c>
      <c r="J951" s="4">
        <f t="shared" si="29"/>
        <v>13.5</v>
      </c>
      <c r="K951" t="str">
        <f>IF(RetailSales[[#This Row],[Age]]&lt;30,"Young Adult",IF(RetailSales[[#This Row],[Age]]&lt;50,"Adult","Senior"))</f>
        <v>Adult</v>
      </c>
      <c r="L951" t="str">
        <f>_xlfn.CONCAT(I951,"_",RetailSales[[#This Row],[Product Category]])</f>
        <v>900_Clothing</v>
      </c>
    </row>
    <row r="952" spans="1:12">
      <c r="A952">
        <v>951</v>
      </c>
      <c r="B952">
        <v>45232</v>
      </c>
      <c r="C952" t="s">
        <v>979</v>
      </c>
      <c r="D952" t="s">
        <v>13</v>
      </c>
      <c r="E952">
        <v>33</v>
      </c>
      <c r="F952" t="s">
        <v>14</v>
      </c>
      <c r="G952">
        <v>2</v>
      </c>
      <c r="H952">
        <v>50</v>
      </c>
      <c r="I952">
        <f t="shared" si="28"/>
        <v>100</v>
      </c>
      <c r="J952" s="4">
        <f t="shared" si="29"/>
        <v>1.5</v>
      </c>
      <c r="K952" t="str">
        <f>IF(RetailSales[[#This Row],[Age]]&lt;30,"Young Adult",IF(RetailSales[[#This Row],[Age]]&lt;50,"Adult","Senior"))</f>
        <v>Adult</v>
      </c>
      <c r="L952" t="str">
        <f>_xlfn.CONCAT(I952,"_",RetailSales[[#This Row],[Product Category]])</f>
        <v>100_Beauty</v>
      </c>
    </row>
    <row r="953" spans="1:12">
      <c r="A953">
        <v>952</v>
      </c>
      <c r="B953">
        <v>45243</v>
      </c>
      <c r="C953" t="s">
        <v>980</v>
      </c>
      <c r="D953" t="s">
        <v>17</v>
      </c>
      <c r="E953">
        <v>57</v>
      </c>
      <c r="F953" t="s">
        <v>18</v>
      </c>
      <c r="G953">
        <v>1</v>
      </c>
      <c r="H953">
        <v>25</v>
      </c>
      <c r="I953">
        <f t="shared" si="28"/>
        <v>25</v>
      </c>
      <c r="J953" s="4">
        <f t="shared" si="29"/>
        <v>0.375</v>
      </c>
      <c r="K953" t="str">
        <f>IF(RetailSales[[#This Row],[Age]]&lt;30,"Young Adult",IF(RetailSales[[#This Row],[Age]]&lt;50,"Adult","Senior"))</f>
        <v>Senior</v>
      </c>
      <c r="L953" t="str">
        <f>_xlfn.CONCAT(I953,"_",RetailSales[[#This Row],[Product Category]])</f>
        <v>25_Clothing</v>
      </c>
    </row>
    <row r="954" spans="1:12">
      <c r="A954">
        <v>953</v>
      </c>
      <c r="B954">
        <v>45042</v>
      </c>
      <c r="C954" t="s">
        <v>981</v>
      </c>
      <c r="D954" t="s">
        <v>13</v>
      </c>
      <c r="E954">
        <v>45</v>
      </c>
      <c r="F954" t="s">
        <v>14</v>
      </c>
      <c r="G954">
        <v>3</v>
      </c>
      <c r="H954">
        <v>30</v>
      </c>
      <c r="I954">
        <f t="shared" si="28"/>
        <v>90</v>
      </c>
      <c r="J954" s="4">
        <f t="shared" si="29"/>
        <v>1.3499999999999999</v>
      </c>
      <c r="K954" t="str">
        <f>IF(RetailSales[[#This Row],[Age]]&lt;30,"Young Adult",IF(RetailSales[[#This Row],[Age]]&lt;50,"Adult","Senior"))</f>
        <v>Adult</v>
      </c>
      <c r="L954" t="str">
        <f>_xlfn.CONCAT(I954,"_",RetailSales[[#This Row],[Product Category]])</f>
        <v>90_Beauty</v>
      </c>
    </row>
    <row r="955" spans="1:12">
      <c r="A955">
        <v>954</v>
      </c>
      <c r="B955">
        <v>45194</v>
      </c>
      <c r="C955" t="s">
        <v>982</v>
      </c>
      <c r="D955" t="s">
        <v>17</v>
      </c>
      <c r="E955">
        <v>50</v>
      </c>
      <c r="F955" t="s">
        <v>20</v>
      </c>
      <c r="G955">
        <v>3</v>
      </c>
      <c r="H955">
        <v>300</v>
      </c>
      <c r="I955">
        <f t="shared" si="28"/>
        <v>900</v>
      </c>
      <c r="J955" s="4">
        <f t="shared" si="29"/>
        <v>13.5</v>
      </c>
      <c r="K955" t="str">
        <f>IF(RetailSales[[#This Row],[Age]]&lt;30,"Young Adult",IF(RetailSales[[#This Row],[Age]]&lt;50,"Adult","Senior"))</f>
        <v>Senior</v>
      </c>
      <c r="L955" t="str">
        <f>_xlfn.CONCAT(I955,"_",RetailSales[[#This Row],[Product Category]])</f>
        <v>900_Electronics</v>
      </c>
    </row>
    <row r="956" spans="1:12">
      <c r="A956">
        <v>955</v>
      </c>
      <c r="B956">
        <v>45121</v>
      </c>
      <c r="C956" t="s">
        <v>983</v>
      </c>
      <c r="D956" t="s">
        <v>13</v>
      </c>
      <c r="E956">
        <v>58</v>
      </c>
      <c r="F956" t="s">
        <v>18</v>
      </c>
      <c r="G956">
        <v>1</v>
      </c>
      <c r="H956">
        <v>25</v>
      </c>
      <c r="I956">
        <f t="shared" si="28"/>
        <v>25</v>
      </c>
      <c r="J956" s="4">
        <f t="shared" si="29"/>
        <v>0.375</v>
      </c>
      <c r="K956" t="str">
        <f>IF(RetailSales[[#This Row],[Age]]&lt;30,"Young Adult",IF(RetailSales[[#This Row],[Age]]&lt;50,"Adult","Senior"))</f>
        <v>Senior</v>
      </c>
      <c r="L956" t="str">
        <f>_xlfn.CONCAT(I956,"_",RetailSales[[#This Row],[Product Category]])</f>
        <v>25_Clothing</v>
      </c>
    </row>
    <row r="957" spans="1:12">
      <c r="A957">
        <v>956</v>
      </c>
      <c r="B957">
        <v>45157</v>
      </c>
      <c r="C957" t="s">
        <v>984</v>
      </c>
      <c r="D957" t="s">
        <v>13</v>
      </c>
      <c r="E957">
        <v>30</v>
      </c>
      <c r="F957" t="s">
        <v>18</v>
      </c>
      <c r="G957">
        <v>3</v>
      </c>
      <c r="H957">
        <v>500</v>
      </c>
      <c r="I957">
        <f t="shared" si="28"/>
        <v>1500</v>
      </c>
      <c r="J957" s="4">
        <f t="shared" si="29"/>
        <v>22.5</v>
      </c>
      <c r="K957" t="str">
        <f>IF(RetailSales[[#This Row],[Age]]&lt;30,"Young Adult",IF(RetailSales[[#This Row],[Age]]&lt;50,"Adult","Senior"))</f>
        <v>Adult</v>
      </c>
      <c r="L957" t="str">
        <f>_xlfn.CONCAT(I957,"_",RetailSales[[#This Row],[Product Category]])</f>
        <v>1500_Clothing</v>
      </c>
    </row>
    <row r="958" spans="1:12">
      <c r="A958">
        <v>957</v>
      </c>
      <c r="B958">
        <v>45153</v>
      </c>
      <c r="C958" t="s">
        <v>985</v>
      </c>
      <c r="D958" t="s">
        <v>17</v>
      </c>
      <c r="E958">
        <v>60</v>
      </c>
      <c r="F958" t="s">
        <v>20</v>
      </c>
      <c r="G958">
        <v>4</v>
      </c>
      <c r="H958">
        <v>30</v>
      </c>
      <c r="I958">
        <f t="shared" si="28"/>
        <v>120</v>
      </c>
      <c r="J958" s="4">
        <f t="shared" si="29"/>
        <v>1.7999999999999998</v>
      </c>
      <c r="K958" t="str">
        <f>IF(RetailSales[[#This Row],[Age]]&lt;30,"Young Adult",IF(RetailSales[[#This Row],[Age]]&lt;50,"Adult","Senior"))</f>
        <v>Senior</v>
      </c>
      <c r="L958" t="str">
        <f>_xlfn.CONCAT(I958,"_",RetailSales[[#This Row],[Product Category]])</f>
        <v>120_Electronics</v>
      </c>
    </row>
    <row r="959" spans="1:12">
      <c r="A959">
        <v>958</v>
      </c>
      <c r="B959">
        <v>45079</v>
      </c>
      <c r="C959" t="s">
        <v>986</v>
      </c>
      <c r="D959" t="s">
        <v>13</v>
      </c>
      <c r="E959">
        <v>62</v>
      </c>
      <c r="F959" t="s">
        <v>20</v>
      </c>
      <c r="G959">
        <v>2</v>
      </c>
      <c r="H959">
        <v>25</v>
      </c>
      <c r="I959">
        <f t="shared" si="28"/>
        <v>50</v>
      </c>
      <c r="J959" s="4">
        <f t="shared" si="29"/>
        <v>0.75</v>
      </c>
      <c r="K959" t="str">
        <f>IF(RetailSales[[#This Row],[Age]]&lt;30,"Young Adult",IF(RetailSales[[#This Row],[Age]]&lt;50,"Adult","Senior"))</f>
        <v>Senior</v>
      </c>
      <c r="L959" t="str">
        <f>_xlfn.CONCAT(I959,"_",RetailSales[[#This Row],[Product Category]])</f>
        <v>50_Electronics</v>
      </c>
    </row>
    <row r="960" spans="1:12">
      <c r="A960">
        <v>959</v>
      </c>
      <c r="B960">
        <v>45228</v>
      </c>
      <c r="C960" t="s">
        <v>987</v>
      </c>
      <c r="D960" t="s">
        <v>17</v>
      </c>
      <c r="E960">
        <v>42</v>
      </c>
      <c r="F960" t="s">
        <v>20</v>
      </c>
      <c r="G960">
        <v>2</v>
      </c>
      <c r="H960">
        <v>30</v>
      </c>
      <c r="I960">
        <f t="shared" si="28"/>
        <v>60</v>
      </c>
      <c r="J960" s="4">
        <f t="shared" si="29"/>
        <v>0.89999999999999991</v>
      </c>
      <c r="K960" t="str">
        <f>IF(RetailSales[[#This Row],[Age]]&lt;30,"Young Adult",IF(RetailSales[[#This Row],[Age]]&lt;50,"Adult","Senior"))</f>
        <v>Adult</v>
      </c>
      <c r="L960" t="str">
        <f>_xlfn.CONCAT(I960,"_",RetailSales[[#This Row],[Product Category]])</f>
        <v>60_Electronics</v>
      </c>
    </row>
    <row r="961" spans="1:12">
      <c r="A961">
        <v>960</v>
      </c>
      <c r="B961">
        <v>45146</v>
      </c>
      <c r="C961" t="s">
        <v>988</v>
      </c>
      <c r="D961" t="s">
        <v>13</v>
      </c>
      <c r="E961">
        <v>59</v>
      </c>
      <c r="F961" t="s">
        <v>18</v>
      </c>
      <c r="G961">
        <v>2</v>
      </c>
      <c r="H961">
        <v>30</v>
      </c>
      <c r="I961">
        <f t="shared" si="28"/>
        <v>60</v>
      </c>
      <c r="J961" s="4">
        <f t="shared" si="29"/>
        <v>0.89999999999999991</v>
      </c>
      <c r="K961" t="str">
        <f>IF(RetailSales[[#This Row],[Age]]&lt;30,"Young Adult",IF(RetailSales[[#This Row],[Age]]&lt;50,"Adult","Senior"))</f>
        <v>Senior</v>
      </c>
      <c r="L961" t="str">
        <f>_xlfn.CONCAT(I961,"_",RetailSales[[#This Row],[Product Category]])</f>
        <v>60_Clothing</v>
      </c>
    </row>
    <row r="962" spans="1:12">
      <c r="A962">
        <v>961</v>
      </c>
      <c r="B962">
        <v>45083</v>
      </c>
      <c r="C962" t="s">
        <v>989</v>
      </c>
      <c r="D962" t="s">
        <v>13</v>
      </c>
      <c r="E962">
        <v>53</v>
      </c>
      <c r="F962" t="s">
        <v>14</v>
      </c>
      <c r="G962">
        <v>4</v>
      </c>
      <c r="H962">
        <v>50</v>
      </c>
      <c r="I962">
        <f t="shared" si="28"/>
        <v>200</v>
      </c>
      <c r="J962" s="4">
        <f t="shared" si="29"/>
        <v>3</v>
      </c>
      <c r="K962" t="str">
        <f>IF(RetailSales[[#This Row],[Age]]&lt;30,"Young Adult",IF(RetailSales[[#This Row],[Age]]&lt;50,"Adult","Senior"))</f>
        <v>Senior</v>
      </c>
      <c r="L962" t="str">
        <f>_xlfn.CONCAT(I962,"_",RetailSales[[#This Row],[Product Category]])</f>
        <v>200_Beauty</v>
      </c>
    </row>
    <row r="963" spans="1:12">
      <c r="A963">
        <v>962</v>
      </c>
      <c r="B963">
        <v>45218</v>
      </c>
      <c r="C963" t="s">
        <v>990</v>
      </c>
      <c r="D963" t="s">
        <v>13</v>
      </c>
      <c r="E963">
        <v>44</v>
      </c>
      <c r="F963" t="s">
        <v>18</v>
      </c>
      <c r="G963">
        <v>2</v>
      </c>
      <c r="H963">
        <v>30</v>
      </c>
      <c r="I963">
        <f t="shared" ref="I963:I1001" si="30">G963*H963</f>
        <v>60</v>
      </c>
      <c r="J963" s="4">
        <f t="shared" ref="J963:J1001" si="31">I963*$O$3</f>
        <v>0.89999999999999991</v>
      </c>
      <c r="K963" t="str">
        <f>IF(RetailSales[[#This Row],[Age]]&lt;30,"Young Adult",IF(RetailSales[[#This Row],[Age]]&lt;50,"Adult","Senior"))</f>
        <v>Adult</v>
      </c>
      <c r="L963" t="str">
        <f>_xlfn.CONCAT(I963,"_",RetailSales[[#This Row],[Product Category]])</f>
        <v>60_Clothing</v>
      </c>
    </row>
    <row r="964" spans="1:12">
      <c r="A964">
        <v>963</v>
      </c>
      <c r="B964">
        <v>45244</v>
      </c>
      <c r="C964" t="s">
        <v>991</v>
      </c>
      <c r="D964" t="s">
        <v>17</v>
      </c>
      <c r="E964">
        <v>55</v>
      </c>
      <c r="F964" t="s">
        <v>14</v>
      </c>
      <c r="G964">
        <v>1</v>
      </c>
      <c r="H964">
        <v>50</v>
      </c>
      <c r="I964">
        <f t="shared" si="30"/>
        <v>50</v>
      </c>
      <c r="J964" s="4">
        <f t="shared" si="31"/>
        <v>0.75</v>
      </c>
      <c r="K964" t="str">
        <f>IF(RetailSales[[#This Row],[Age]]&lt;30,"Young Adult",IF(RetailSales[[#This Row],[Age]]&lt;50,"Adult","Senior"))</f>
        <v>Senior</v>
      </c>
      <c r="L964" t="str">
        <f>_xlfn.CONCAT(I964,"_",RetailSales[[#This Row],[Product Category]])</f>
        <v>50_Beauty</v>
      </c>
    </row>
    <row r="965" spans="1:12">
      <c r="A965">
        <v>964</v>
      </c>
      <c r="B965">
        <v>44957</v>
      </c>
      <c r="C965" t="s">
        <v>992</v>
      </c>
      <c r="D965" t="s">
        <v>13</v>
      </c>
      <c r="E965">
        <v>24</v>
      </c>
      <c r="F965" t="s">
        <v>18</v>
      </c>
      <c r="G965">
        <v>3</v>
      </c>
      <c r="H965">
        <v>300</v>
      </c>
      <c r="I965">
        <f t="shared" si="30"/>
        <v>900</v>
      </c>
      <c r="J965" s="4">
        <f t="shared" si="31"/>
        <v>13.5</v>
      </c>
      <c r="K965" t="str">
        <f>IF(RetailSales[[#This Row],[Age]]&lt;30,"Young Adult",IF(RetailSales[[#This Row],[Age]]&lt;50,"Adult","Senior"))</f>
        <v>Young Adult</v>
      </c>
      <c r="L965" t="str">
        <f>_xlfn.CONCAT(I965,"_",RetailSales[[#This Row],[Product Category]])</f>
        <v>900_Clothing</v>
      </c>
    </row>
    <row r="966" spans="1:12">
      <c r="A966">
        <v>965</v>
      </c>
      <c r="B966">
        <v>45239</v>
      </c>
      <c r="C966" t="s">
        <v>993</v>
      </c>
      <c r="D966" t="s">
        <v>13</v>
      </c>
      <c r="E966">
        <v>22</v>
      </c>
      <c r="F966" t="s">
        <v>18</v>
      </c>
      <c r="G966">
        <v>4</v>
      </c>
      <c r="H966">
        <v>50</v>
      </c>
      <c r="I966">
        <f t="shared" si="30"/>
        <v>200</v>
      </c>
      <c r="J966" s="4">
        <f t="shared" si="31"/>
        <v>3</v>
      </c>
      <c r="K966" t="str">
        <f>IF(RetailSales[[#This Row],[Age]]&lt;30,"Young Adult",IF(RetailSales[[#This Row],[Age]]&lt;50,"Adult","Senior"))</f>
        <v>Young Adult</v>
      </c>
      <c r="L966" t="str">
        <f>_xlfn.CONCAT(I966,"_",RetailSales[[#This Row],[Product Category]])</f>
        <v>200_Clothing</v>
      </c>
    </row>
    <row r="967" spans="1:12">
      <c r="A967">
        <v>966</v>
      </c>
      <c r="B967">
        <v>44977</v>
      </c>
      <c r="C967" t="s">
        <v>994</v>
      </c>
      <c r="D967" t="s">
        <v>13</v>
      </c>
      <c r="E967">
        <v>60</v>
      </c>
      <c r="F967" t="s">
        <v>20</v>
      </c>
      <c r="G967">
        <v>2</v>
      </c>
      <c r="H967">
        <v>500</v>
      </c>
      <c r="I967">
        <f t="shared" si="30"/>
        <v>1000</v>
      </c>
      <c r="J967" s="4">
        <f t="shared" si="31"/>
        <v>15</v>
      </c>
      <c r="K967" t="str">
        <f>IF(RetailSales[[#This Row],[Age]]&lt;30,"Young Adult",IF(RetailSales[[#This Row],[Age]]&lt;50,"Adult","Senior"))</f>
        <v>Senior</v>
      </c>
      <c r="L967" t="str">
        <f>_xlfn.CONCAT(I967,"_",RetailSales[[#This Row],[Product Category]])</f>
        <v>1000_Electronics</v>
      </c>
    </row>
    <row r="968" spans="1:12">
      <c r="A968">
        <v>967</v>
      </c>
      <c r="B968">
        <v>45033</v>
      </c>
      <c r="C968" t="s">
        <v>995</v>
      </c>
      <c r="D968" t="s">
        <v>13</v>
      </c>
      <c r="E968">
        <v>62</v>
      </c>
      <c r="F968" t="s">
        <v>14</v>
      </c>
      <c r="G968">
        <v>1</v>
      </c>
      <c r="H968">
        <v>25</v>
      </c>
      <c r="I968">
        <f t="shared" si="30"/>
        <v>25</v>
      </c>
      <c r="J968" s="4">
        <f t="shared" si="31"/>
        <v>0.375</v>
      </c>
      <c r="K968" t="str">
        <f>IF(RetailSales[[#This Row],[Age]]&lt;30,"Young Adult",IF(RetailSales[[#This Row],[Age]]&lt;50,"Adult","Senior"))</f>
        <v>Senior</v>
      </c>
      <c r="L968" t="str">
        <f>_xlfn.CONCAT(I968,"_",RetailSales[[#This Row],[Product Category]])</f>
        <v>25_Beauty</v>
      </c>
    </row>
    <row r="969" spans="1:12">
      <c r="A969">
        <v>968</v>
      </c>
      <c r="B969">
        <v>45247</v>
      </c>
      <c r="C969" t="s">
        <v>996</v>
      </c>
      <c r="D969" t="s">
        <v>17</v>
      </c>
      <c r="E969">
        <v>48</v>
      </c>
      <c r="F969" t="s">
        <v>18</v>
      </c>
      <c r="G969">
        <v>3</v>
      </c>
      <c r="H969">
        <v>300</v>
      </c>
      <c r="I969">
        <f t="shared" si="30"/>
        <v>900</v>
      </c>
      <c r="J969" s="4">
        <f t="shared" si="31"/>
        <v>13.5</v>
      </c>
      <c r="K969" t="str">
        <f>IF(RetailSales[[#This Row],[Age]]&lt;30,"Young Adult",IF(RetailSales[[#This Row],[Age]]&lt;50,"Adult","Senior"))</f>
        <v>Adult</v>
      </c>
      <c r="L969" t="str">
        <f>_xlfn.CONCAT(I969,"_",RetailSales[[#This Row],[Product Category]])</f>
        <v>900_Clothing</v>
      </c>
    </row>
    <row r="970" spans="1:12">
      <c r="A970">
        <v>969</v>
      </c>
      <c r="B970">
        <v>45035</v>
      </c>
      <c r="C970" t="s">
        <v>997</v>
      </c>
      <c r="D970" t="s">
        <v>17</v>
      </c>
      <c r="E970">
        <v>40</v>
      </c>
      <c r="F970" t="s">
        <v>18</v>
      </c>
      <c r="G970">
        <v>3</v>
      </c>
      <c r="H970">
        <v>300</v>
      </c>
      <c r="I970">
        <f t="shared" si="30"/>
        <v>900</v>
      </c>
      <c r="J970" s="4">
        <f t="shared" si="31"/>
        <v>13.5</v>
      </c>
      <c r="K970" t="str">
        <f>IF(RetailSales[[#This Row],[Age]]&lt;30,"Young Adult",IF(RetailSales[[#This Row],[Age]]&lt;50,"Adult","Senior"))</f>
        <v>Adult</v>
      </c>
      <c r="L970" t="str">
        <f>_xlfn.CONCAT(I970,"_",RetailSales[[#This Row],[Product Category]])</f>
        <v>900_Clothing</v>
      </c>
    </row>
    <row r="971" spans="1:12">
      <c r="A971">
        <v>970</v>
      </c>
      <c r="B971">
        <v>45062</v>
      </c>
      <c r="C971" t="s">
        <v>998</v>
      </c>
      <c r="D971" t="s">
        <v>13</v>
      </c>
      <c r="E971">
        <v>59</v>
      </c>
      <c r="F971" t="s">
        <v>20</v>
      </c>
      <c r="G971">
        <v>4</v>
      </c>
      <c r="H971">
        <v>500</v>
      </c>
      <c r="I971">
        <f t="shared" si="30"/>
        <v>2000</v>
      </c>
      <c r="J971" s="4">
        <f t="shared" si="31"/>
        <v>30</v>
      </c>
      <c r="K971" t="str">
        <f>IF(RetailSales[[#This Row],[Age]]&lt;30,"Young Adult",IF(RetailSales[[#This Row],[Age]]&lt;50,"Adult","Senior"))</f>
        <v>Senior</v>
      </c>
      <c r="L971" t="str">
        <f>_xlfn.CONCAT(I971,"_",RetailSales[[#This Row],[Product Category]])</f>
        <v>2000_Electronics</v>
      </c>
    </row>
    <row r="972" spans="1:12">
      <c r="A972">
        <v>971</v>
      </c>
      <c r="B972">
        <v>45265</v>
      </c>
      <c r="C972" t="s">
        <v>999</v>
      </c>
      <c r="D972" t="s">
        <v>17</v>
      </c>
      <c r="E972">
        <v>27</v>
      </c>
      <c r="F972" t="s">
        <v>20</v>
      </c>
      <c r="G972">
        <v>4</v>
      </c>
      <c r="H972">
        <v>50</v>
      </c>
      <c r="I972">
        <f t="shared" si="30"/>
        <v>200</v>
      </c>
      <c r="J972" s="4">
        <f t="shared" si="31"/>
        <v>3</v>
      </c>
      <c r="K972" t="str">
        <f>IF(RetailSales[[#This Row],[Age]]&lt;30,"Young Adult",IF(RetailSales[[#This Row],[Age]]&lt;50,"Adult","Senior"))</f>
        <v>Young Adult</v>
      </c>
      <c r="L972" t="str">
        <f>_xlfn.CONCAT(I972,"_",RetailSales[[#This Row],[Product Category]])</f>
        <v>200_Electronics</v>
      </c>
    </row>
    <row r="973" spans="1:12">
      <c r="A973">
        <v>972</v>
      </c>
      <c r="B973">
        <v>44968</v>
      </c>
      <c r="C973" t="s">
        <v>1000</v>
      </c>
      <c r="D973" t="s">
        <v>13</v>
      </c>
      <c r="E973">
        <v>49</v>
      </c>
      <c r="F973" t="s">
        <v>14</v>
      </c>
      <c r="G973">
        <v>4</v>
      </c>
      <c r="H973">
        <v>25</v>
      </c>
      <c r="I973">
        <f t="shared" si="30"/>
        <v>100</v>
      </c>
      <c r="J973" s="4">
        <f t="shared" si="31"/>
        <v>1.5</v>
      </c>
      <c r="K973" t="str">
        <f>IF(RetailSales[[#This Row],[Age]]&lt;30,"Young Adult",IF(RetailSales[[#This Row],[Age]]&lt;50,"Adult","Senior"))</f>
        <v>Adult</v>
      </c>
      <c r="L973" t="str">
        <f>_xlfn.CONCAT(I973,"_",RetailSales[[#This Row],[Product Category]])</f>
        <v>100_Beauty</v>
      </c>
    </row>
    <row r="974" spans="1:12">
      <c r="A974">
        <v>973</v>
      </c>
      <c r="B974">
        <v>45007</v>
      </c>
      <c r="C974" t="s">
        <v>1001</v>
      </c>
      <c r="D974" t="s">
        <v>13</v>
      </c>
      <c r="E974">
        <v>60</v>
      </c>
      <c r="F974" t="s">
        <v>18</v>
      </c>
      <c r="G974">
        <v>1</v>
      </c>
      <c r="H974">
        <v>50</v>
      </c>
      <c r="I974">
        <f t="shared" si="30"/>
        <v>50</v>
      </c>
      <c r="J974" s="4">
        <f t="shared" si="31"/>
        <v>0.75</v>
      </c>
      <c r="K974" t="str">
        <f>IF(RetailSales[[#This Row],[Age]]&lt;30,"Young Adult",IF(RetailSales[[#This Row],[Age]]&lt;50,"Adult","Senior"))</f>
        <v>Senior</v>
      </c>
      <c r="L974" t="str">
        <f>_xlfn.CONCAT(I974,"_",RetailSales[[#This Row],[Product Category]])</f>
        <v>50_Clothing</v>
      </c>
    </row>
    <row r="975" spans="1:12">
      <c r="A975">
        <v>974</v>
      </c>
      <c r="B975">
        <v>45049</v>
      </c>
      <c r="C975" t="s">
        <v>1002</v>
      </c>
      <c r="D975" t="s">
        <v>13</v>
      </c>
      <c r="E975">
        <v>47</v>
      </c>
      <c r="F975" t="s">
        <v>14</v>
      </c>
      <c r="G975">
        <v>1</v>
      </c>
      <c r="H975">
        <v>30</v>
      </c>
      <c r="I975">
        <f t="shared" si="30"/>
        <v>30</v>
      </c>
      <c r="J975" s="4">
        <f t="shared" si="31"/>
        <v>0.44999999999999996</v>
      </c>
      <c r="K975" t="str">
        <f>IF(RetailSales[[#This Row],[Age]]&lt;30,"Young Adult",IF(RetailSales[[#This Row],[Age]]&lt;50,"Adult","Senior"))</f>
        <v>Adult</v>
      </c>
      <c r="L975" t="str">
        <f>_xlfn.CONCAT(I975,"_",RetailSales[[#This Row],[Product Category]])</f>
        <v>30_Beauty</v>
      </c>
    </row>
    <row r="976" spans="1:12">
      <c r="A976">
        <v>975</v>
      </c>
      <c r="B976">
        <v>45015</v>
      </c>
      <c r="C976" t="s">
        <v>1003</v>
      </c>
      <c r="D976" t="s">
        <v>17</v>
      </c>
      <c r="E976">
        <v>56</v>
      </c>
      <c r="F976" t="s">
        <v>18</v>
      </c>
      <c r="G976">
        <v>4</v>
      </c>
      <c r="H976">
        <v>50</v>
      </c>
      <c r="I976">
        <f t="shared" si="30"/>
        <v>200</v>
      </c>
      <c r="J976" s="4">
        <f t="shared" si="31"/>
        <v>3</v>
      </c>
      <c r="K976" t="str">
        <f>IF(RetailSales[[#This Row],[Age]]&lt;30,"Young Adult",IF(RetailSales[[#This Row],[Age]]&lt;50,"Adult","Senior"))</f>
        <v>Senior</v>
      </c>
      <c r="L976" t="str">
        <f>_xlfn.CONCAT(I976,"_",RetailSales[[#This Row],[Product Category]])</f>
        <v>200_Clothing</v>
      </c>
    </row>
    <row r="977" spans="1:12">
      <c r="A977">
        <v>976</v>
      </c>
      <c r="B977">
        <v>45209</v>
      </c>
      <c r="C977" t="s">
        <v>1004</v>
      </c>
      <c r="D977" t="s">
        <v>17</v>
      </c>
      <c r="E977">
        <v>48</v>
      </c>
      <c r="F977" t="s">
        <v>14</v>
      </c>
      <c r="G977">
        <v>2</v>
      </c>
      <c r="H977">
        <v>300</v>
      </c>
      <c r="I977">
        <f t="shared" si="30"/>
        <v>600</v>
      </c>
      <c r="J977" s="4">
        <f t="shared" si="31"/>
        <v>9</v>
      </c>
      <c r="K977" t="str">
        <f>IF(RetailSales[[#This Row],[Age]]&lt;30,"Young Adult",IF(RetailSales[[#This Row],[Age]]&lt;50,"Adult","Senior"))</f>
        <v>Adult</v>
      </c>
      <c r="L977" t="str">
        <f>_xlfn.CONCAT(I977,"_",RetailSales[[#This Row],[Product Category]])</f>
        <v>600_Beauty</v>
      </c>
    </row>
    <row r="978" spans="1:12">
      <c r="A978">
        <v>977</v>
      </c>
      <c r="B978">
        <v>44965</v>
      </c>
      <c r="C978" t="s">
        <v>1005</v>
      </c>
      <c r="D978" t="s">
        <v>17</v>
      </c>
      <c r="E978">
        <v>35</v>
      </c>
      <c r="F978" t="s">
        <v>20</v>
      </c>
      <c r="G978">
        <v>3</v>
      </c>
      <c r="H978">
        <v>25</v>
      </c>
      <c r="I978">
        <f t="shared" si="30"/>
        <v>75</v>
      </c>
      <c r="J978" s="4">
        <f t="shared" si="31"/>
        <v>1.125</v>
      </c>
      <c r="K978" t="str">
        <f>IF(RetailSales[[#This Row],[Age]]&lt;30,"Young Adult",IF(RetailSales[[#This Row],[Age]]&lt;50,"Adult","Senior"))</f>
        <v>Adult</v>
      </c>
      <c r="L978" t="str">
        <f>_xlfn.CONCAT(I978,"_",RetailSales[[#This Row],[Product Category]])</f>
        <v>75_Electronics</v>
      </c>
    </row>
    <row r="979" spans="1:12">
      <c r="A979">
        <v>978</v>
      </c>
      <c r="B979">
        <v>45007</v>
      </c>
      <c r="C979" t="s">
        <v>1006</v>
      </c>
      <c r="D979" t="s">
        <v>17</v>
      </c>
      <c r="E979">
        <v>53</v>
      </c>
      <c r="F979" t="s">
        <v>18</v>
      </c>
      <c r="G979">
        <v>3</v>
      </c>
      <c r="H979">
        <v>50</v>
      </c>
      <c r="I979">
        <f t="shared" si="30"/>
        <v>150</v>
      </c>
      <c r="J979" s="4">
        <f t="shared" si="31"/>
        <v>2.25</v>
      </c>
      <c r="K979" t="str">
        <f>IF(RetailSales[[#This Row],[Age]]&lt;30,"Young Adult",IF(RetailSales[[#This Row],[Age]]&lt;50,"Adult","Senior"))</f>
        <v>Senior</v>
      </c>
      <c r="L979" t="str">
        <f>_xlfn.CONCAT(I979,"_",RetailSales[[#This Row],[Product Category]])</f>
        <v>150_Clothing</v>
      </c>
    </row>
    <row r="980" spans="1:12">
      <c r="A980">
        <v>979</v>
      </c>
      <c r="B980">
        <v>44928</v>
      </c>
      <c r="C980" t="s">
        <v>1007</v>
      </c>
      <c r="D980" t="s">
        <v>17</v>
      </c>
      <c r="E980">
        <v>19</v>
      </c>
      <c r="F980" t="s">
        <v>14</v>
      </c>
      <c r="G980">
        <v>1</v>
      </c>
      <c r="H980">
        <v>25</v>
      </c>
      <c r="I980">
        <f t="shared" si="30"/>
        <v>25</v>
      </c>
      <c r="J980" s="4">
        <f t="shared" si="31"/>
        <v>0.375</v>
      </c>
      <c r="K980" t="str">
        <f>IF(RetailSales[[#This Row],[Age]]&lt;30,"Young Adult",IF(RetailSales[[#This Row],[Age]]&lt;50,"Adult","Senior"))</f>
        <v>Young Adult</v>
      </c>
      <c r="L980" t="str">
        <f>_xlfn.CONCAT(I980,"_",RetailSales[[#This Row],[Product Category]])</f>
        <v>25_Beauty</v>
      </c>
    </row>
    <row r="981" spans="1:12">
      <c r="A981">
        <v>980</v>
      </c>
      <c r="B981">
        <v>45136</v>
      </c>
      <c r="C981" t="s">
        <v>1008</v>
      </c>
      <c r="D981" t="s">
        <v>17</v>
      </c>
      <c r="E981">
        <v>31</v>
      </c>
      <c r="F981" t="s">
        <v>20</v>
      </c>
      <c r="G981">
        <v>3</v>
      </c>
      <c r="H981">
        <v>25</v>
      </c>
      <c r="I981">
        <f t="shared" si="30"/>
        <v>75</v>
      </c>
      <c r="J981" s="4">
        <f t="shared" si="31"/>
        <v>1.125</v>
      </c>
      <c r="K981" t="str">
        <f>IF(RetailSales[[#This Row],[Age]]&lt;30,"Young Adult",IF(RetailSales[[#This Row],[Age]]&lt;50,"Adult","Senior"))</f>
        <v>Adult</v>
      </c>
      <c r="L981" t="str">
        <f>_xlfn.CONCAT(I981,"_",RetailSales[[#This Row],[Product Category]])</f>
        <v>75_Electronics</v>
      </c>
    </row>
    <row r="982" spans="1:12">
      <c r="A982">
        <v>981</v>
      </c>
      <c r="B982">
        <v>45157</v>
      </c>
      <c r="C982" t="s">
        <v>1009</v>
      </c>
      <c r="D982" t="s">
        <v>17</v>
      </c>
      <c r="E982">
        <v>30</v>
      </c>
      <c r="F982" t="s">
        <v>20</v>
      </c>
      <c r="G982">
        <v>2</v>
      </c>
      <c r="H982">
        <v>30</v>
      </c>
      <c r="I982">
        <f t="shared" si="30"/>
        <v>60</v>
      </c>
      <c r="J982" s="4">
        <f t="shared" si="31"/>
        <v>0.89999999999999991</v>
      </c>
      <c r="K982" t="str">
        <f>IF(RetailSales[[#This Row],[Age]]&lt;30,"Young Adult",IF(RetailSales[[#This Row],[Age]]&lt;50,"Adult","Senior"))</f>
        <v>Adult</v>
      </c>
      <c r="L982" t="str">
        <f>_xlfn.CONCAT(I982,"_",RetailSales[[#This Row],[Product Category]])</f>
        <v>60_Electronics</v>
      </c>
    </row>
    <row r="983" spans="1:12">
      <c r="A983">
        <v>982</v>
      </c>
      <c r="B983">
        <v>45279</v>
      </c>
      <c r="C983" t="s">
        <v>1010</v>
      </c>
      <c r="D983" t="s">
        <v>17</v>
      </c>
      <c r="E983">
        <v>46</v>
      </c>
      <c r="F983" t="s">
        <v>14</v>
      </c>
      <c r="G983">
        <v>3</v>
      </c>
      <c r="H983">
        <v>30</v>
      </c>
      <c r="I983">
        <f t="shared" si="30"/>
        <v>90</v>
      </c>
      <c r="J983" s="4">
        <f t="shared" si="31"/>
        <v>1.3499999999999999</v>
      </c>
      <c r="K983" t="str">
        <f>IF(RetailSales[[#This Row],[Age]]&lt;30,"Young Adult",IF(RetailSales[[#This Row],[Age]]&lt;50,"Adult","Senior"))</f>
        <v>Adult</v>
      </c>
      <c r="L983" t="str">
        <f>_xlfn.CONCAT(I983,"_",RetailSales[[#This Row],[Product Category]])</f>
        <v>90_Beauty</v>
      </c>
    </row>
    <row r="984" spans="1:12">
      <c r="A984">
        <v>983</v>
      </c>
      <c r="B984">
        <v>45231</v>
      </c>
      <c r="C984" t="s">
        <v>1011</v>
      </c>
      <c r="D984" t="s">
        <v>17</v>
      </c>
      <c r="E984">
        <v>29</v>
      </c>
      <c r="F984" t="s">
        <v>18</v>
      </c>
      <c r="G984">
        <v>1</v>
      </c>
      <c r="H984">
        <v>300</v>
      </c>
      <c r="I984">
        <f t="shared" si="30"/>
        <v>300</v>
      </c>
      <c r="J984" s="4">
        <f t="shared" si="31"/>
        <v>4.5</v>
      </c>
      <c r="K984" t="str">
        <f>IF(RetailSales[[#This Row],[Age]]&lt;30,"Young Adult",IF(RetailSales[[#This Row],[Age]]&lt;50,"Adult","Senior"))</f>
        <v>Young Adult</v>
      </c>
      <c r="L984" t="str">
        <f>_xlfn.CONCAT(I984,"_",RetailSales[[#This Row],[Product Category]])</f>
        <v>300_Clothing</v>
      </c>
    </row>
    <row r="985" spans="1:12">
      <c r="A985">
        <v>984</v>
      </c>
      <c r="B985">
        <v>45167</v>
      </c>
      <c r="C985" t="s">
        <v>1012</v>
      </c>
      <c r="D985" t="s">
        <v>13</v>
      </c>
      <c r="E985">
        <v>56</v>
      </c>
      <c r="F985" t="s">
        <v>18</v>
      </c>
      <c r="G985">
        <v>1</v>
      </c>
      <c r="H985">
        <v>500</v>
      </c>
      <c r="I985">
        <f t="shared" si="30"/>
        <v>500</v>
      </c>
      <c r="J985" s="4">
        <f t="shared" si="31"/>
        <v>7.5</v>
      </c>
      <c r="K985" t="str">
        <f>IF(RetailSales[[#This Row],[Age]]&lt;30,"Young Adult",IF(RetailSales[[#This Row],[Age]]&lt;50,"Adult","Senior"))</f>
        <v>Senior</v>
      </c>
      <c r="L985" t="str">
        <f>_xlfn.CONCAT(I985,"_",RetailSales[[#This Row],[Product Category]])</f>
        <v>500_Clothing</v>
      </c>
    </row>
    <row r="986" spans="1:12">
      <c r="A986">
        <v>985</v>
      </c>
      <c r="B986">
        <v>45076</v>
      </c>
      <c r="C986" t="s">
        <v>1013</v>
      </c>
      <c r="D986" t="s">
        <v>17</v>
      </c>
      <c r="E986">
        <v>19</v>
      </c>
      <c r="F986" t="s">
        <v>20</v>
      </c>
      <c r="G986">
        <v>2</v>
      </c>
      <c r="H986">
        <v>25</v>
      </c>
      <c r="I986">
        <f t="shared" si="30"/>
        <v>50</v>
      </c>
      <c r="J986" s="4">
        <f t="shared" si="31"/>
        <v>0.75</v>
      </c>
      <c r="K986" t="str">
        <f>IF(RetailSales[[#This Row],[Age]]&lt;30,"Young Adult",IF(RetailSales[[#This Row],[Age]]&lt;50,"Adult","Senior"))</f>
        <v>Young Adult</v>
      </c>
      <c r="L986" t="str">
        <f>_xlfn.CONCAT(I986,"_",RetailSales[[#This Row],[Product Category]])</f>
        <v>50_Electronics</v>
      </c>
    </row>
    <row r="987" spans="1:12">
      <c r="A987">
        <v>986</v>
      </c>
      <c r="B987">
        <v>44943</v>
      </c>
      <c r="C987" t="s">
        <v>1014</v>
      </c>
      <c r="D987" t="s">
        <v>17</v>
      </c>
      <c r="E987">
        <v>49</v>
      </c>
      <c r="F987" t="s">
        <v>18</v>
      </c>
      <c r="G987">
        <v>2</v>
      </c>
      <c r="H987">
        <v>500</v>
      </c>
      <c r="I987">
        <f t="shared" si="30"/>
        <v>1000</v>
      </c>
      <c r="J987" s="4">
        <f t="shared" si="31"/>
        <v>15</v>
      </c>
      <c r="K987" t="str">
        <f>IF(RetailSales[[#This Row],[Age]]&lt;30,"Young Adult",IF(RetailSales[[#This Row],[Age]]&lt;50,"Adult","Senior"))</f>
        <v>Adult</v>
      </c>
      <c r="L987" t="str">
        <f>_xlfn.CONCAT(I987,"_",RetailSales[[#This Row],[Product Category]])</f>
        <v>1000_Clothing</v>
      </c>
    </row>
    <row r="988" spans="1:12">
      <c r="A988">
        <v>987</v>
      </c>
      <c r="B988">
        <v>45045</v>
      </c>
      <c r="C988" t="s">
        <v>1015</v>
      </c>
      <c r="D988" t="s">
        <v>17</v>
      </c>
      <c r="E988">
        <v>30</v>
      </c>
      <c r="F988" t="s">
        <v>18</v>
      </c>
      <c r="G988">
        <v>3</v>
      </c>
      <c r="H988">
        <v>300</v>
      </c>
      <c r="I988">
        <f t="shared" si="30"/>
        <v>900</v>
      </c>
      <c r="J988" s="4">
        <f t="shared" si="31"/>
        <v>13.5</v>
      </c>
      <c r="K988" t="str">
        <f>IF(RetailSales[[#This Row],[Age]]&lt;30,"Young Adult",IF(RetailSales[[#This Row],[Age]]&lt;50,"Adult","Senior"))</f>
        <v>Adult</v>
      </c>
      <c r="L988" t="str">
        <f>_xlfn.CONCAT(I988,"_",RetailSales[[#This Row],[Product Category]])</f>
        <v>900_Clothing</v>
      </c>
    </row>
    <row r="989" spans="1:12">
      <c r="A989">
        <v>988</v>
      </c>
      <c r="B989">
        <v>45074</v>
      </c>
      <c r="C989" t="s">
        <v>1016</v>
      </c>
      <c r="D989" t="s">
        <v>17</v>
      </c>
      <c r="E989">
        <v>63</v>
      </c>
      <c r="F989" t="s">
        <v>18</v>
      </c>
      <c r="G989">
        <v>3</v>
      </c>
      <c r="H989">
        <v>25</v>
      </c>
      <c r="I989">
        <f t="shared" si="30"/>
        <v>75</v>
      </c>
      <c r="J989" s="4">
        <f t="shared" si="31"/>
        <v>1.125</v>
      </c>
      <c r="K989" t="str">
        <f>IF(RetailSales[[#This Row],[Age]]&lt;30,"Young Adult",IF(RetailSales[[#This Row],[Age]]&lt;50,"Adult","Senior"))</f>
        <v>Senior</v>
      </c>
      <c r="L989" t="str">
        <f>_xlfn.CONCAT(I989,"_",RetailSales[[#This Row],[Product Category]])</f>
        <v>75_Clothing</v>
      </c>
    </row>
    <row r="990" spans="1:12">
      <c r="A990">
        <v>989</v>
      </c>
      <c r="B990">
        <v>45288</v>
      </c>
      <c r="C990" t="s">
        <v>1017</v>
      </c>
      <c r="D990" t="s">
        <v>17</v>
      </c>
      <c r="E990">
        <v>44</v>
      </c>
      <c r="F990" t="s">
        <v>20</v>
      </c>
      <c r="G990">
        <v>1</v>
      </c>
      <c r="H990">
        <v>25</v>
      </c>
      <c r="I990">
        <f t="shared" si="30"/>
        <v>25</v>
      </c>
      <c r="J990" s="4">
        <f t="shared" si="31"/>
        <v>0.375</v>
      </c>
      <c r="K990" t="str">
        <f>IF(RetailSales[[#This Row],[Age]]&lt;30,"Young Adult",IF(RetailSales[[#This Row],[Age]]&lt;50,"Adult","Senior"))</f>
        <v>Adult</v>
      </c>
      <c r="L990" t="str">
        <f>_xlfn.CONCAT(I990,"_",RetailSales[[#This Row],[Product Category]])</f>
        <v>25_Electronics</v>
      </c>
    </row>
    <row r="991" spans="1:12">
      <c r="A991">
        <v>990</v>
      </c>
      <c r="B991">
        <v>45071</v>
      </c>
      <c r="C991" t="s">
        <v>1018</v>
      </c>
      <c r="D991" t="s">
        <v>17</v>
      </c>
      <c r="E991">
        <v>58</v>
      </c>
      <c r="F991" t="s">
        <v>14</v>
      </c>
      <c r="G991">
        <v>2</v>
      </c>
      <c r="H991">
        <v>500</v>
      </c>
      <c r="I991">
        <f t="shared" si="30"/>
        <v>1000</v>
      </c>
      <c r="J991" s="4">
        <f t="shared" si="31"/>
        <v>15</v>
      </c>
      <c r="K991" t="str">
        <f>IF(RetailSales[[#This Row],[Age]]&lt;30,"Young Adult",IF(RetailSales[[#This Row],[Age]]&lt;50,"Adult","Senior"))</f>
        <v>Senior</v>
      </c>
      <c r="L991" t="str">
        <f>_xlfn.CONCAT(I991,"_",RetailSales[[#This Row],[Product Category]])</f>
        <v>1000_Beauty</v>
      </c>
    </row>
    <row r="992" spans="1:12">
      <c r="A992">
        <v>991</v>
      </c>
      <c r="B992">
        <v>45286</v>
      </c>
      <c r="C992" t="s">
        <v>1019</v>
      </c>
      <c r="D992" t="s">
        <v>17</v>
      </c>
      <c r="E992">
        <v>34</v>
      </c>
      <c r="F992" t="s">
        <v>18</v>
      </c>
      <c r="G992">
        <v>2</v>
      </c>
      <c r="H992">
        <v>50</v>
      </c>
      <c r="I992">
        <f t="shared" si="30"/>
        <v>100</v>
      </c>
      <c r="J992" s="4">
        <f t="shared" si="31"/>
        <v>1.5</v>
      </c>
      <c r="K992" t="str">
        <f>IF(RetailSales[[#This Row],[Age]]&lt;30,"Young Adult",IF(RetailSales[[#This Row],[Age]]&lt;50,"Adult","Senior"))</f>
        <v>Adult</v>
      </c>
      <c r="L992" t="str">
        <f>_xlfn.CONCAT(I992,"_",RetailSales[[#This Row],[Product Category]])</f>
        <v>100_Clothing</v>
      </c>
    </row>
    <row r="993" spans="1:28">
      <c r="A993">
        <v>992</v>
      </c>
      <c r="B993">
        <v>45159</v>
      </c>
      <c r="C993" t="s">
        <v>1020</v>
      </c>
      <c r="D993" t="s">
        <v>17</v>
      </c>
      <c r="E993">
        <v>57</v>
      </c>
      <c r="F993" t="s">
        <v>20</v>
      </c>
      <c r="G993">
        <v>2</v>
      </c>
      <c r="H993">
        <v>30</v>
      </c>
      <c r="I993">
        <f t="shared" si="30"/>
        <v>60</v>
      </c>
      <c r="J993" s="4">
        <f t="shared" si="31"/>
        <v>0.89999999999999991</v>
      </c>
      <c r="K993" t="str">
        <f>IF(RetailSales[[#This Row],[Age]]&lt;30,"Young Adult",IF(RetailSales[[#This Row],[Age]]&lt;50,"Adult","Senior"))</f>
        <v>Senior</v>
      </c>
      <c r="L993" t="str">
        <f>_xlfn.CONCAT(I993,"_",RetailSales[[#This Row],[Product Category]])</f>
        <v>60_Electronics</v>
      </c>
    </row>
    <row r="994" spans="1:28">
      <c r="A994">
        <v>993</v>
      </c>
      <c r="B994">
        <v>44963</v>
      </c>
      <c r="C994" t="s">
        <v>1021</v>
      </c>
      <c r="D994" t="s">
        <v>17</v>
      </c>
      <c r="E994">
        <v>48</v>
      </c>
      <c r="F994" t="s">
        <v>20</v>
      </c>
      <c r="G994">
        <v>3</v>
      </c>
      <c r="H994">
        <v>50</v>
      </c>
      <c r="I994">
        <f t="shared" si="30"/>
        <v>150</v>
      </c>
      <c r="J994" s="4">
        <f t="shared" si="31"/>
        <v>2.25</v>
      </c>
      <c r="K994" t="str">
        <f>IF(RetailSales[[#This Row],[Age]]&lt;30,"Young Adult",IF(RetailSales[[#This Row],[Age]]&lt;50,"Adult","Senior"))</f>
        <v>Adult</v>
      </c>
      <c r="L994" t="str">
        <f>_xlfn.CONCAT(I994,"_",RetailSales[[#This Row],[Product Category]])</f>
        <v>150_Electronics</v>
      </c>
    </row>
    <row r="995" spans="1:28">
      <c r="A995">
        <v>994</v>
      </c>
      <c r="B995">
        <v>45278</v>
      </c>
      <c r="C995" t="s">
        <v>1022</v>
      </c>
      <c r="D995" t="s">
        <v>17</v>
      </c>
      <c r="E995">
        <v>51</v>
      </c>
      <c r="F995" t="s">
        <v>14</v>
      </c>
      <c r="G995">
        <v>2</v>
      </c>
      <c r="H995">
        <v>500</v>
      </c>
      <c r="I995">
        <f t="shared" si="30"/>
        <v>1000</v>
      </c>
      <c r="J995" s="4">
        <f t="shared" si="31"/>
        <v>15</v>
      </c>
      <c r="K995" t="str">
        <f>IF(RetailSales[[#This Row],[Age]]&lt;30,"Young Adult",IF(RetailSales[[#This Row],[Age]]&lt;50,"Adult","Senior"))</f>
        <v>Senior</v>
      </c>
      <c r="L995" t="str">
        <f>_xlfn.CONCAT(I995,"_",RetailSales[[#This Row],[Product Category]])</f>
        <v>1000_Beauty</v>
      </c>
    </row>
    <row r="996" spans="1:28">
      <c r="A996">
        <v>995</v>
      </c>
      <c r="B996">
        <v>45046</v>
      </c>
      <c r="C996" t="s">
        <v>1023</v>
      </c>
      <c r="D996" t="s">
        <v>17</v>
      </c>
      <c r="E996">
        <v>41</v>
      </c>
      <c r="F996" t="s">
        <v>18</v>
      </c>
      <c r="G996">
        <v>1</v>
      </c>
      <c r="H996">
        <v>30</v>
      </c>
      <c r="I996">
        <f t="shared" si="30"/>
        <v>30</v>
      </c>
      <c r="J996" s="4">
        <f t="shared" si="31"/>
        <v>0.44999999999999996</v>
      </c>
      <c r="K996" t="str">
        <f>IF(RetailSales[[#This Row],[Age]]&lt;30,"Young Adult",IF(RetailSales[[#This Row],[Age]]&lt;50,"Adult","Senior"))</f>
        <v>Adult</v>
      </c>
      <c r="L996" t="str">
        <f>_xlfn.CONCAT(I996,"_",RetailSales[[#This Row],[Product Category]])</f>
        <v>30_Clothing</v>
      </c>
    </row>
    <row r="997" spans="1:28">
      <c r="A997">
        <v>996</v>
      </c>
      <c r="B997">
        <v>45062</v>
      </c>
      <c r="C997" t="s">
        <v>1024</v>
      </c>
      <c r="D997" t="s">
        <v>13</v>
      </c>
      <c r="E997">
        <v>62</v>
      </c>
      <c r="F997" t="s">
        <v>18</v>
      </c>
      <c r="G997">
        <v>1</v>
      </c>
      <c r="H997">
        <v>50</v>
      </c>
      <c r="I997">
        <f t="shared" si="30"/>
        <v>50</v>
      </c>
      <c r="J997" s="4">
        <f t="shared" si="31"/>
        <v>0.75</v>
      </c>
      <c r="K997" t="str">
        <f>IF(RetailSales[[#This Row],[Age]]&lt;30,"Young Adult",IF(RetailSales[[#This Row],[Age]]&lt;50,"Adult","Senior"))</f>
        <v>Senior</v>
      </c>
      <c r="L997" t="str">
        <f>_xlfn.CONCAT(I997,"_",RetailSales[[#This Row],[Product Category]])</f>
        <v>50_Clothing</v>
      </c>
    </row>
    <row r="998" spans="1:28">
      <c r="A998">
        <v>997</v>
      </c>
      <c r="B998">
        <v>45247</v>
      </c>
      <c r="C998" t="s">
        <v>1025</v>
      </c>
      <c r="D998" t="s">
        <v>13</v>
      </c>
      <c r="E998">
        <v>52</v>
      </c>
      <c r="F998" t="s">
        <v>14</v>
      </c>
      <c r="G998">
        <v>3</v>
      </c>
      <c r="H998">
        <v>30</v>
      </c>
      <c r="I998">
        <f t="shared" si="30"/>
        <v>90</v>
      </c>
      <c r="J998" s="4">
        <f t="shared" si="31"/>
        <v>1.3499999999999999</v>
      </c>
      <c r="K998" t="str">
        <f>IF(RetailSales[[#This Row],[Age]]&lt;30,"Young Adult",IF(RetailSales[[#This Row],[Age]]&lt;50,"Adult","Senior"))</f>
        <v>Senior</v>
      </c>
      <c r="L998" t="str">
        <f>_xlfn.CONCAT(I998,"_",RetailSales[[#This Row],[Product Category]])</f>
        <v>90_Beauty</v>
      </c>
    </row>
    <row r="999" spans="1:28">
      <c r="A999">
        <v>998</v>
      </c>
      <c r="B999">
        <v>45228</v>
      </c>
      <c r="C999" t="s">
        <v>1026</v>
      </c>
      <c r="D999" t="s">
        <v>17</v>
      </c>
      <c r="E999">
        <v>23</v>
      </c>
      <c r="F999" t="s">
        <v>14</v>
      </c>
      <c r="G999">
        <v>4</v>
      </c>
      <c r="H999">
        <v>25</v>
      </c>
      <c r="I999">
        <f t="shared" si="30"/>
        <v>100</v>
      </c>
      <c r="J999" s="4">
        <f t="shared" si="31"/>
        <v>1.5</v>
      </c>
      <c r="K999" t="str">
        <f>IF(RetailSales[[#This Row],[Age]]&lt;30,"Young Adult",IF(RetailSales[[#This Row],[Age]]&lt;50,"Adult","Senior"))</f>
        <v>Young Adult</v>
      </c>
      <c r="L999" t="str">
        <f>_xlfn.CONCAT(I999,"_",RetailSales[[#This Row],[Product Category]])</f>
        <v>100_Beauty</v>
      </c>
    </row>
    <row r="1000" spans="1:28">
      <c r="A1000">
        <v>999</v>
      </c>
      <c r="B1000">
        <v>45265</v>
      </c>
      <c r="C1000" t="s">
        <v>1027</v>
      </c>
      <c r="D1000" t="s">
        <v>17</v>
      </c>
      <c r="E1000">
        <v>36</v>
      </c>
      <c r="F1000" t="s">
        <v>20</v>
      </c>
      <c r="G1000">
        <v>3</v>
      </c>
      <c r="H1000">
        <v>50</v>
      </c>
      <c r="I1000">
        <f t="shared" si="30"/>
        <v>150</v>
      </c>
      <c r="J1000" s="4">
        <f t="shared" si="31"/>
        <v>2.25</v>
      </c>
      <c r="K1000" t="str">
        <f>IF(RetailSales[[#This Row],[Age]]&lt;30,"Young Adult",IF(RetailSales[[#This Row],[Age]]&lt;50,"Adult","Senior"))</f>
        <v>Adult</v>
      </c>
      <c r="L1000" t="str">
        <f>_xlfn.CONCAT(I1000,"_",RetailSales[[#This Row],[Product Category]])</f>
        <v>150_Electronics</v>
      </c>
    </row>
    <row r="1001" spans="1:28">
      <c r="A1001">
        <v>1000</v>
      </c>
      <c r="B1001">
        <v>45028</v>
      </c>
      <c r="C1001" t="s">
        <v>1028</v>
      </c>
      <c r="D1001" t="s">
        <v>13</v>
      </c>
      <c r="E1001">
        <v>47</v>
      </c>
      <c r="F1001" t="s">
        <v>20</v>
      </c>
      <c r="G1001">
        <v>4</v>
      </c>
      <c r="H1001">
        <v>30</v>
      </c>
      <c r="I1001">
        <f t="shared" si="30"/>
        <v>120</v>
      </c>
      <c r="J1001" s="4">
        <f t="shared" si="31"/>
        <v>1.7999999999999998</v>
      </c>
      <c r="K1001" t="str">
        <f>IF(RetailSales[[#This Row],[Age]]&lt;30,"Young Adult",IF(RetailSales[[#This Row],[Age]]&lt;50,"Adult","Senior"))</f>
        <v>Adult</v>
      </c>
      <c r="L1001" t="str">
        <f>_xlfn.CONCAT(I1001,"_",RetailSales[[#This Row],[Product Category]])</f>
        <v>120_Electronics</v>
      </c>
    </row>
    <row r="1004" spans="1:28" ht="15.75" customHeight="1">
      <c r="X1004" s="3"/>
    </row>
    <row r="1005" spans="1:28" ht="15.75" customHeight="1">
      <c r="X1005" s="37" t="s">
        <v>1029</v>
      </c>
      <c r="Y1005" s="37"/>
      <c r="AA1005" s="37" t="s">
        <v>1030</v>
      </c>
      <c r="AB1005" s="37"/>
    </row>
    <row r="1006" spans="1:28" ht="15.75" customHeight="1">
      <c r="X1006" s="21" t="str" cm="1">
        <f t="array" ref="X1006:X1008">_xlfn.UNIQUE(RetailSales[Product Category])</f>
        <v>Beauty</v>
      </c>
      <c r="Y1006" s="17" t="str">
        <f>LEFT(X1006,1)</f>
        <v>B</v>
      </c>
      <c r="AA1006" s="17" t="str" cm="1">
        <f t="array" ref="AA1006:AA1008">_xlfn.UNIQUE(K2:K1001)</f>
        <v>Adult</v>
      </c>
      <c r="AB1006" s="17" t="str">
        <f>LEFT(AA1006,1)</f>
        <v>A</v>
      </c>
    </row>
    <row r="1007" spans="1:28" ht="15.75" customHeight="1">
      <c r="X1007" s="21" t="str">
        <v>Clothing</v>
      </c>
      <c r="Y1007" s="17" t="str">
        <f t="shared" ref="Y1007:Y1008" si="32">LEFT(X1007,1)</f>
        <v>C</v>
      </c>
      <c r="AA1007" s="17" t="str">
        <v>Young Adult</v>
      </c>
      <c r="AB1007" s="17" t="str" cm="1">
        <f t="array" ref="AB1007">_xlfn.TEXTJOIN("",TRUE,LEFT(_xlfn.TEXTSPLIT(AA1007," "),1))</f>
        <v>YA</v>
      </c>
    </row>
    <row r="1008" spans="1:28" ht="15.75" customHeight="1">
      <c r="X1008" s="21" t="str">
        <v>Electronics</v>
      </c>
      <c r="Y1008" s="17" t="str">
        <f t="shared" si="32"/>
        <v>E</v>
      </c>
      <c r="AA1008" s="17" t="str">
        <v>Senior</v>
      </c>
      <c r="AB1008" s="17" t="str">
        <f>LEFT(AA1008,1)</f>
        <v>S</v>
      </c>
    </row>
    <row r="1009" spans="23:41" ht="15.75" customHeight="1">
      <c r="X1009" s="3"/>
    </row>
    <row r="1010" spans="23:41" ht="15.75" customHeight="1">
      <c r="X1010" s="3"/>
    </row>
    <row r="1011" spans="23:41" ht="15.75" customHeight="1">
      <c r="X1011" s="3"/>
    </row>
    <row r="1012" spans="23:41" ht="15.75" customHeight="1">
      <c r="X1012" s="3"/>
    </row>
    <row r="1013" spans="23:41" ht="15.75" customHeight="1">
      <c r="X1013" s="3"/>
    </row>
    <row r="1014" spans="23:41" ht="15.75" customHeight="1">
      <c r="X1014" s="3"/>
      <c r="AA1014" s="3"/>
    </row>
    <row r="1015" spans="23:41" ht="15.75" customHeight="1">
      <c r="W1015" s="36" t="s">
        <v>1031</v>
      </c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</row>
    <row r="1016" spans="23:41" ht="15.75" customHeight="1">
      <c r="W1016" s="34" t="s">
        <v>3</v>
      </c>
      <c r="X1016" s="34" t="s">
        <v>13</v>
      </c>
      <c r="Y1016" s="34"/>
      <c r="Z1016" s="34"/>
      <c r="AA1016" s="34"/>
      <c r="AB1016" s="34"/>
      <c r="AC1016" s="34"/>
      <c r="AD1016" s="34"/>
      <c r="AE1016" s="34"/>
      <c r="AF1016" s="34"/>
      <c r="AG1016" s="36" t="s">
        <v>17</v>
      </c>
      <c r="AH1016" s="36"/>
      <c r="AI1016" s="36"/>
      <c r="AJ1016" s="36"/>
      <c r="AK1016" s="36"/>
      <c r="AL1016" s="36"/>
      <c r="AM1016" s="36"/>
      <c r="AN1016" s="36"/>
      <c r="AO1016" s="36"/>
    </row>
    <row r="1017" spans="23:41" ht="15.75" customHeight="1">
      <c r="W1017" s="34"/>
      <c r="X1017" s="35">
        <f>SUMIF(RetailSales[Gender],X1016,$I$2:$I$1001)</f>
        <v>223160</v>
      </c>
      <c r="Y1017" s="35"/>
      <c r="Z1017" s="35"/>
      <c r="AA1017" s="35"/>
      <c r="AB1017" s="35"/>
      <c r="AC1017" s="35"/>
      <c r="AD1017" s="35"/>
      <c r="AE1017" s="35"/>
      <c r="AF1017" s="35"/>
      <c r="AG1017" s="35">
        <f>SUMIF(RetailSales[Gender],AG1016,$I$2:$I$1001)</f>
        <v>232840</v>
      </c>
      <c r="AH1017" s="35"/>
      <c r="AI1017" s="35"/>
      <c r="AJ1017" s="35"/>
      <c r="AK1017" s="35"/>
      <c r="AL1017" s="35"/>
      <c r="AM1017" s="35"/>
      <c r="AN1017" s="35"/>
      <c r="AO1017" s="35"/>
    </row>
    <row r="1018" spans="23:41" ht="15.75" customHeight="1">
      <c r="W1018" s="36" t="s">
        <v>10</v>
      </c>
      <c r="X1018" s="34" t="str">
        <f>$AB$1006</f>
        <v>A</v>
      </c>
      <c r="Y1018" s="34"/>
      <c r="Z1018" s="34"/>
      <c r="AA1018" s="36" t="str">
        <f>$AB$1007</f>
        <v>YA</v>
      </c>
      <c r="AB1018" s="36"/>
      <c r="AC1018" s="36"/>
      <c r="AD1018" s="36" t="str">
        <f>$AB$1008</f>
        <v>S</v>
      </c>
      <c r="AE1018" s="36"/>
      <c r="AF1018" s="36"/>
      <c r="AG1018" s="34" t="str">
        <f>$AB$1006</f>
        <v>A</v>
      </c>
      <c r="AH1018" s="34"/>
      <c r="AI1018" s="34"/>
      <c r="AJ1018" s="36" t="str">
        <f>$AB$1007</f>
        <v>YA</v>
      </c>
      <c r="AK1018" s="36"/>
      <c r="AL1018" s="36"/>
      <c r="AM1018" s="36" t="str">
        <f>$AB$1008</f>
        <v>S</v>
      </c>
      <c r="AN1018" s="36"/>
      <c r="AO1018" s="36"/>
    </row>
    <row r="1019" spans="23:41" ht="15.75" customHeight="1">
      <c r="W1019" s="36"/>
      <c r="X1019" s="35">
        <f>SUMIFS($I$2:$I$1001,RetailSales[Gender],$X$1016,$K$2:$K$1001,$AA$1006)</f>
        <v>92140</v>
      </c>
      <c r="Y1019" s="35"/>
      <c r="Z1019" s="35"/>
      <c r="AA1019" s="35">
        <f>SUMIFS($I$2:$I$1001,RetailSales[Gender],$X$1016,$K$2:$K$1001,$AA$1007)</f>
        <v>59630</v>
      </c>
      <c r="AB1019" s="35"/>
      <c r="AC1019" s="35"/>
      <c r="AD1019" s="35">
        <f>SUMIFS($I$2:$I$1001,RetailSales[Gender],$X$1016,$K$2:$K$1001,$AA$1008)</f>
        <v>71390</v>
      </c>
      <c r="AE1019" s="35"/>
      <c r="AF1019" s="35"/>
      <c r="AG1019" s="35">
        <f>SUMIFS($I$2:$I$1001,RetailSales[Gender],$AG$1016,$K$2:$K$1001,$AA$1006)</f>
        <v>97550</v>
      </c>
      <c r="AH1019" s="35"/>
      <c r="AI1019" s="35"/>
      <c r="AJ1019" s="35">
        <f>SUMIFS($I$2:$I$1001,RetailSales[Gender],$AG$1016,$K$2:$K$1001,$AA$1007)</f>
        <v>63525</v>
      </c>
      <c r="AK1019" s="35"/>
      <c r="AL1019" s="35"/>
      <c r="AM1019" s="35">
        <f>SUMIFS($I$2:$I$1001,RetailSales[Gender],$AG$1016,$K$2:$K$1001,$AA$1008)</f>
        <v>71765</v>
      </c>
      <c r="AN1019" s="35"/>
      <c r="AO1019" s="35"/>
    </row>
    <row r="1020" spans="23:41" ht="15.75" customHeight="1">
      <c r="W1020" s="34" t="s">
        <v>1032</v>
      </c>
      <c r="X1020" s="32" t="str" cm="1">
        <f t="array" ref="X1020:Z1020">TRANSPOSE($Y$1006:$Y$1008)</f>
        <v>B</v>
      </c>
      <c r="Y1020" s="31" t="str">
        <v>C</v>
      </c>
      <c r="Z1020" s="31" t="str">
        <v>E</v>
      </c>
      <c r="AA1020" s="32" t="str" cm="1">
        <f t="array" ref="AA1020:AC1020">TRANSPOSE($Y$1006:$Y$1008)</f>
        <v>B</v>
      </c>
      <c r="AB1020" s="31" t="str">
        <v>C</v>
      </c>
      <c r="AC1020" s="31" t="str">
        <v>E</v>
      </c>
      <c r="AD1020" s="32" t="str" cm="1">
        <f t="array" ref="AD1020:AF1020">TRANSPOSE($Y$1006:$Y$1008)</f>
        <v>B</v>
      </c>
      <c r="AE1020" s="31" t="str">
        <v>C</v>
      </c>
      <c r="AF1020" s="31" t="str">
        <v>E</v>
      </c>
      <c r="AG1020" s="32" t="str" cm="1">
        <f t="array" ref="AG1020:AI1020">TRANSPOSE($Y$1006:$Y$1008)</f>
        <v>B</v>
      </c>
      <c r="AH1020" s="31" t="str">
        <v>C</v>
      </c>
      <c r="AI1020" s="31" t="str">
        <v>E</v>
      </c>
      <c r="AJ1020" s="32" t="str" cm="1">
        <f t="array" ref="AJ1020:AL1020">TRANSPOSE($Y$1006:$Y$1008)</f>
        <v>B</v>
      </c>
      <c r="AK1020" s="31" t="str">
        <v>C</v>
      </c>
      <c r="AL1020" s="31" t="str">
        <v>E</v>
      </c>
      <c r="AM1020" s="32" t="str" cm="1">
        <f t="array" ref="AM1020:AO1020">TRANSPOSE($Y$1006:$Y$1008)</f>
        <v>B</v>
      </c>
      <c r="AN1020" s="31" t="str">
        <v>C</v>
      </c>
      <c r="AO1020" s="31" t="str">
        <v>E</v>
      </c>
    </row>
    <row r="1021" spans="23:41">
      <c r="W1021" s="34"/>
      <c r="X1021" s="33">
        <f>SUMIFS($I$2:$I$1001,RetailSales[Gender],$X$1016,$K$2:$K$1001,$AA$1006,RetailSales[Product Category],$X$1006)</f>
        <v>32860</v>
      </c>
      <c r="Y1021" s="33">
        <f>SUMIFS($I$2:$I$1001,RetailSales[Gender],$X$1016,$K$2:$K$1001,$AA$1006,RetailSales[Product Category],$X$1007)</f>
        <v>30390</v>
      </c>
      <c r="Z1021" s="33">
        <f>SUMIFS($I$2:$I$1001,RetailSales[Gender],$X$1016,$K$2:$K$1001,$AA$1006,RetailSales[Product Category],$X$1008)</f>
        <v>28890</v>
      </c>
      <c r="AA1021" s="33">
        <f>SUMIFS($I$2:$I$1001,RetailSales[Gender],$X$1016,$K$2:$K$1001,$AA$1007,RetailSales[Product Category],$X$1006)</f>
        <v>21750</v>
      </c>
      <c r="AB1021" s="33">
        <f>SUMIFS($I$2:$I$1001,RetailSales[Gender],$X$1016,$K$2:$K$1001,$AA$1007,RetailSales[Product Category],$X$1007)</f>
        <v>21930</v>
      </c>
      <c r="AC1021" s="33">
        <f>SUMIFS($I$2:$I$1001,RetailSales[Gender],$X$1016,$K$2:$K$1001,$AA$1007,RetailSales[Product Category],$X$1008)</f>
        <v>15950</v>
      </c>
      <c r="AD1021" s="33">
        <f>SUMIFS($I$2:$I$1001,RetailSales[Gender],$X$1016,$K$2:$K$1001,$AA$1008,RetailSales[Product Category],$X$1006)</f>
        <v>14075</v>
      </c>
      <c r="AE1021" s="33">
        <f>SUMIFS($I$2:$I$1001,RetailSales[Gender],$X$1016,$K$2:$K$1001,$AA$1008,RetailSales[Product Category],$X$1007)</f>
        <v>21985</v>
      </c>
      <c r="AF1021" s="33">
        <f>SUMIFS($I$2:$I$1001,RetailSales[Gender],$X$1016,$K$2:$K$1001,$AA$1008,RetailSales[Product Category],$X$1008)</f>
        <v>35330</v>
      </c>
      <c r="AG1021" s="33">
        <f>SUMIFS($I$2:$I$1001,RetailSales[Gender],$AG$1016,$K$2:$K$1001,$AA$1006,RetailSales[Product Category],$X$1006)</f>
        <v>35170</v>
      </c>
      <c r="AH1021" s="33">
        <f>SUMIFS($I$2:$I$1001,RetailSales[Gender],$AG$1016,$K$2:$K$1001,$AA$1006,RetailSales[Product Category],$X$1007)</f>
        <v>31970</v>
      </c>
      <c r="AI1021" s="33">
        <f>SUMIFS($I$2:$I$1001,RetailSales[Gender],$AG$1016,$K$2:$K$1001,$AA$1006,RetailSales[Product Category],$X$1008)</f>
        <v>30410</v>
      </c>
      <c r="AJ1021" s="33">
        <f>SUMIFS($I$2:$I$1001,RetailSales[Gender],$AG$1016,$K$2:$K$1001,$AA$1007,RetailSales[Product Category],$X$1006)</f>
        <v>19650</v>
      </c>
      <c r="AK1021" s="33">
        <f>SUMIFS($I$2:$I$1001,RetailSales[Gender],$AG$1016,$K$2:$K$1001,$AA$1007,RetailSales[Product Category],$X$1007)</f>
        <v>24220</v>
      </c>
      <c r="AL1021" s="33">
        <f>SUMIFS($I$2:$I$1001,RetailSales[Gender],$AG$1016,$K$2:$K$1001,$AA$1007,RetailSales[Product Category],$X$1008)</f>
        <v>19655</v>
      </c>
      <c r="AM1021" s="33">
        <f>SUMIFS($I$2:$I$1001,RetailSales[Gender],$AG$1016,$K$2:$K$1001,$AA$1008,RetailSales[Product Category],$X$1006)</f>
        <v>20010</v>
      </c>
      <c r="AN1021" s="33">
        <f>SUMIFS($I$2:$I$1001,RetailSales[Gender],$AG$1016,$K$2:$K$1001,$AA$1008,RetailSales[Product Category],$X$1007)</f>
        <v>25085</v>
      </c>
      <c r="AO1021" s="33">
        <f>SUMIFS($I$2:$I$1001,RetailSales[Gender],$AG$1016,$K$2:$K$1001,$AA$1008,RetailSales[Product Category],$X$1008)</f>
        <v>26670</v>
      </c>
    </row>
    <row r="1022" spans="23:41" ht="15.75" customHeight="1">
      <c r="X1022" s="24"/>
      <c r="AA1022" s="25"/>
      <c r="AH1022" s="25"/>
    </row>
    <row r="1023" spans="23:41" ht="15.75" customHeight="1">
      <c r="X1023" s="3"/>
    </row>
  </sheetData>
  <mergeCells count="23">
    <mergeCell ref="P16:Q16"/>
    <mergeCell ref="X1005:Y1005"/>
    <mergeCell ref="AA1005:AB1005"/>
    <mergeCell ref="X1018:Z1018"/>
    <mergeCell ref="AA1018:AC1018"/>
    <mergeCell ref="W1015:AO1015"/>
    <mergeCell ref="W1016:W1017"/>
    <mergeCell ref="W1018:W1019"/>
    <mergeCell ref="W1020:W1021"/>
    <mergeCell ref="X1017:AF1017"/>
    <mergeCell ref="AG1017:AO1017"/>
    <mergeCell ref="X1016:AF1016"/>
    <mergeCell ref="AG1016:AO1016"/>
    <mergeCell ref="X1019:Z1019"/>
    <mergeCell ref="AA1019:AC1019"/>
    <mergeCell ref="AD1019:AF1019"/>
    <mergeCell ref="AG1019:AI1019"/>
    <mergeCell ref="AJ1019:AL1019"/>
    <mergeCell ref="AM1019:AO1019"/>
    <mergeCell ref="AD1018:AF1018"/>
    <mergeCell ref="AG1018:AI1018"/>
    <mergeCell ref="AJ1018:AL1018"/>
    <mergeCell ref="AM1018:AO1018"/>
  </mergeCells>
  <conditionalFormatting sqref="O18:O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17 X10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019:AO101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019:AO101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019:AF10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19:AO10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019:AO10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021:AO1021">
    <cfRule type="colorScale" priority="3">
      <colorScale>
        <cfvo type="min"/>
        <cfvo type="max"/>
        <color rgb="FFFFEF9C"/>
        <color rgb="FF63BE7B"/>
      </colorScale>
    </cfRule>
  </conditionalFormatting>
  <conditionalFormatting sqref="X1021:AO1021">
    <cfRule type="colorScale" priority="2">
      <colorScale>
        <cfvo type="min"/>
        <cfvo type="max"/>
        <color rgb="FFFCFCFF"/>
        <color rgb="FF63BE7B"/>
      </colorScale>
    </cfRule>
  </conditionalFormatting>
  <conditionalFormatting sqref="X1021:AO10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F4" sqref="F4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8</v>
      </c>
      <c r="C1" s="1" t="s">
        <v>1033</v>
      </c>
      <c r="D1" t="s">
        <v>1034</v>
      </c>
    </row>
    <row r="2" spans="1:4">
      <c r="A2">
        <v>10</v>
      </c>
      <c r="B2">
        <f>VLOOKUP(A2,retail_sales_dataset!$A$2:$J$1001,COLUMN(retail_sales_dataset!$I$1),FALSE)</f>
        <v>200</v>
      </c>
      <c r="C2" t="str">
        <f>VLOOKUP(A2,RetailSales[],COLUMN(RetailSales[[#This Row],[Product Category]]),FALSE)</f>
        <v>Clothing</v>
      </c>
      <c r="D2">
        <f>VLOOKUP(A2,retail_sales_dataset!A:J,9,FALSE)</f>
        <v>200</v>
      </c>
    </row>
    <row r="3" spans="1:4">
      <c r="A3">
        <v>15</v>
      </c>
      <c r="B3">
        <f>VLOOKUP(A3,retail_sales_dataset!$A$2:$J$1001,COLUMN(retail_sales_dataset!$I$1),FALSE)</f>
        <v>2000</v>
      </c>
      <c r="C3" t="str">
        <f>VLOOKUP(A3,RetailSales[],COLUMN(RetailSales[[#This Row],[Product Category]]),FALSE)</f>
        <v>Electronics</v>
      </c>
      <c r="D3">
        <f>VLOOKUP(A3,retail_sales_dataset!A:J,9,FALSE)</f>
        <v>2000</v>
      </c>
    </row>
    <row r="4" spans="1:4">
      <c r="A4">
        <v>25</v>
      </c>
      <c r="B4">
        <f>VLOOKUP(A4,retail_sales_dataset!$A$2:$J$1001,COLUMN(retail_sales_dataset!$I$1),FALSE)</f>
        <v>50</v>
      </c>
      <c r="C4" t="str">
        <f>VLOOKUP(A4,RetailSales[],COLUMN(RetailSales[[#This Row],[Product Category]]),FALSE)</f>
        <v>Beauty</v>
      </c>
      <c r="D4">
        <f>VLOOKUP(A4,retail_sales_dataset!A:J,9,FALSE)</f>
        <v>50</v>
      </c>
    </row>
    <row r="5" spans="1:4">
      <c r="A5">
        <v>30</v>
      </c>
      <c r="B5">
        <f>VLOOKUP(A5,retail_sales_dataset!$A$2:$J$1001,COLUMN(retail_sales_dataset!$I$1),FALSE)</f>
        <v>900</v>
      </c>
      <c r="C5" t="str">
        <f>VLOOKUP(A5,RetailSales[],COLUMN(RetailSales[[#This Row],[Product Category]]),FALSE)</f>
        <v>Beauty</v>
      </c>
      <c r="D5">
        <f>VLOOKUP(A5,retail_sales_dataset!A:J,9,FALSE)</f>
        <v>900</v>
      </c>
    </row>
    <row r="6" spans="1:4">
      <c r="A6">
        <v>54</v>
      </c>
      <c r="B6">
        <f>VLOOKUP(A6,retail_sales_dataset!$A$2:$J$1001,COLUMN(retail_sales_dataset!$I$1),FALSE)</f>
        <v>1500</v>
      </c>
      <c r="C6" t="str">
        <f>VLOOKUP(A6,RetailSales[],COLUMN(RetailSales[[#This Row],[Product Category]]),FALSE)</f>
        <v>Electronics</v>
      </c>
      <c r="D6">
        <f>VLOOKUP(A6,retail_sales_dataset!A:J,9,FALSE)</f>
        <v>1500</v>
      </c>
    </row>
    <row r="7" spans="1:4">
      <c r="A7">
        <v>55</v>
      </c>
      <c r="B7">
        <f>VLOOKUP(A7,retail_sales_dataset!$A$2:$J$1001,COLUMN(retail_sales_dataset!$I$1),FALSE)</f>
        <v>120</v>
      </c>
      <c r="C7" t="str">
        <f>VLOOKUP(A7,RetailSales[],COLUMN(RetailSales[[#This Row],[Product Category]]),FALSE)</f>
        <v>Beauty</v>
      </c>
      <c r="D7">
        <f>VLOOKUP(A7,retail_sales_dataset!A:J,9,FALSE)</f>
        <v>120</v>
      </c>
    </row>
    <row r="8" spans="1:4">
      <c r="A8">
        <v>67</v>
      </c>
      <c r="B8">
        <f>VLOOKUP(A8,retail_sales_dataset!$A$2:$J$1001,COLUMN(retail_sales_dataset!$I$1),FALSE)</f>
        <v>1200</v>
      </c>
      <c r="C8" t="str">
        <f>VLOOKUP(A8,RetailSales[],COLUMN(RetailSales[[#This Row],[Product Category]]),FALSE)</f>
        <v>Beauty</v>
      </c>
      <c r="D8">
        <f>VLOOKUP(A8,retail_sales_dataset!A:J,9,FALSE)</f>
        <v>1200</v>
      </c>
    </row>
    <row r="9" spans="1:4">
      <c r="A9">
        <v>89</v>
      </c>
      <c r="B9">
        <f>VLOOKUP(A9,retail_sales_dataset!$A$2:$J$1001,COLUMN(retail_sales_dataset!$I$1),FALSE)</f>
        <v>2000</v>
      </c>
      <c r="C9" t="str">
        <f>VLOOKUP(A9,RetailSales[],COLUMN(RetailSales[[#This Row],[Product Category]]),FALSE)</f>
        <v>Electronics</v>
      </c>
      <c r="D9">
        <f>VLOOKUP(A9,retail_sales_dataset!A:J,9,FALSE)</f>
        <v>2000</v>
      </c>
    </row>
    <row r="10" spans="1:4">
      <c r="A10">
        <v>100</v>
      </c>
      <c r="B10">
        <f>VLOOKUP(A10,retail_sales_dataset!$A$2:$J$1001,COLUMN(retail_sales_dataset!$I$1),FALSE)</f>
        <v>30</v>
      </c>
      <c r="C10" t="str">
        <f>VLOOKUP(A10,RetailSales[],COLUMN(RetailSales[[#This Row],[Product Category]]),FALSE)</f>
        <v>Electronics</v>
      </c>
      <c r="D10">
        <f>VLOOKUP(A10,retail_sales_dataset!A:J,9,FALSE)</f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G21"/>
  <sheetViews>
    <sheetView workbookViewId="0">
      <selection activeCell="H6" sqref="H6"/>
    </sheetView>
  </sheetViews>
  <sheetFormatPr defaultRowHeight="15.6"/>
  <cols>
    <col min="1" max="1" width="14.5" customWidth="1"/>
    <col min="3" max="3" width="13.25" bestFit="1" customWidth="1"/>
    <col min="5" max="5" width="9.875" bestFit="1" customWidth="1"/>
    <col min="6" max="6" width="13.625" bestFit="1" customWidth="1"/>
    <col min="7" max="7" width="17.875" bestFit="1" customWidth="1"/>
    <col min="8" max="8" width="13.125" customWidth="1"/>
  </cols>
  <sheetData>
    <row r="1" spans="1:7" ht="15.75">
      <c r="A1" s="8" t="s">
        <v>1035</v>
      </c>
      <c r="B1" s="9" t="s">
        <v>1036</v>
      </c>
      <c r="C1" s="9" t="s">
        <v>1037</v>
      </c>
      <c r="D1" s="9" t="s">
        <v>1038</v>
      </c>
      <c r="E1" s="9" t="s">
        <v>1039</v>
      </c>
      <c r="F1" s="10" t="s">
        <v>1040</v>
      </c>
      <c r="G1" s="9" t="s">
        <v>1041</v>
      </c>
    </row>
    <row r="2" spans="1:7" ht="15.75">
      <c r="A2" s="6" t="s">
        <v>1042</v>
      </c>
      <c r="B2" s="2">
        <v>80</v>
      </c>
      <c r="C2" s="2">
        <v>75</v>
      </c>
      <c r="D2" s="2">
        <v>90</v>
      </c>
      <c r="E2" s="14">
        <f>AVERAGE(Table1[[#This Row],[English]:[Science]])</f>
        <v>81.666666666666671</v>
      </c>
      <c r="F2" s="7">
        <f>MAX(Table1[[#This Row],[English]:[Science]])</f>
        <v>90</v>
      </c>
      <c r="G2" s="30" t="s">
        <v>1043</v>
      </c>
    </row>
    <row r="3" spans="1:7" ht="15.75">
      <c r="A3" s="6" t="s">
        <v>1044</v>
      </c>
      <c r="B3" s="2">
        <v>90</v>
      </c>
      <c r="C3" s="2">
        <v>50</v>
      </c>
      <c r="D3" s="2">
        <v>70</v>
      </c>
      <c r="E3" s="14">
        <f>AVERAGE(Table1[[#This Row],[English]:[Science]])</f>
        <v>70</v>
      </c>
      <c r="F3" s="7">
        <f>MAX(Table1[[#This Row],[English]:[Science]])</f>
        <v>90</v>
      </c>
      <c r="G3" s="2" t="s">
        <v>1043</v>
      </c>
    </row>
    <row r="4" spans="1:7" ht="15.75">
      <c r="A4" s="5" t="s">
        <v>1045</v>
      </c>
      <c r="B4" s="2">
        <v>75</v>
      </c>
      <c r="C4" s="2">
        <v>85</v>
      </c>
      <c r="D4" s="2">
        <v>85</v>
      </c>
      <c r="E4" s="14">
        <f>AVERAGE(Table1[[#This Row],[English]:[Science]])</f>
        <v>81.666666666666671</v>
      </c>
      <c r="F4" s="7">
        <f>MAX(Table1[[#This Row],[English]:[Science]])</f>
        <v>85</v>
      </c>
      <c r="G4" s="2" t="s">
        <v>1043</v>
      </c>
    </row>
    <row r="5" spans="1:7" ht="15.75">
      <c r="A5" s="6" t="s">
        <v>1046</v>
      </c>
      <c r="B5" s="2">
        <v>85</v>
      </c>
      <c r="C5" s="2">
        <v>75</v>
      </c>
      <c r="D5" s="2">
        <v>80</v>
      </c>
      <c r="E5" s="14">
        <f>AVERAGE(Table1[[#This Row],[English]:[Science]])</f>
        <v>80</v>
      </c>
      <c r="F5" s="7">
        <f>MAX(Table1[[#This Row],[English]:[Science]])</f>
        <v>85</v>
      </c>
      <c r="G5" s="2" t="s">
        <v>1043</v>
      </c>
    </row>
    <row r="6" spans="1:7" ht="15.75">
      <c r="A6" s="6" t="s">
        <v>1047</v>
      </c>
      <c r="B6" s="2">
        <v>80</v>
      </c>
      <c r="C6" s="2">
        <v>70</v>
      </c>
      <c r="D6" s="2">
        <v>80</v>
      </c>
      <c r="E6" s="14">
        <f>AVERAGE(Table1[[#This Row],[English]:[Science]])</f>
        <v>76.666666666666671</v>
      </c>
      <c r="F6" s="7">
        <f>MAX(Table1[[#This Row],[English]:[Science]])</f>
        <v>80</v>
      </c>
      <c r="G6" s="2" t="s">
        <v>1043</v>
      </c>
    </row>
    <row r="7" spans="1:7" ht="15.75">
      <c r="A7" s="5" t="s">
        <v>1048</v>
      </c>
      <c r="B7" s="2">
        <v>80</v>
      </c>
      <c r="C7" s="2">
        <v>70</v>
      </c>
      <c r="D7" s="2">
        <v>80</v>
      </c>
      <c r="E7" s="14">
        <f>AVERAGE(Table1[[#This Row],[English]:[Science]])</f>
        <v>76.666666666666671</v>
      </c>
      <c r="F7" s="7">
        <f>MAX(Table1[[#This Row],[English]:[Science]])</f>
        <v>80</v>
      </c>
      <c r="G7" s="2" t="s">
        <v>1043</v>
      </c>
    </row>
    <row r="8" spans="1:7" ht="15.75">
      <c r="A8" s="6" t="s">
        <v>1049</v>
      </c>
      <c r="B8" s="2">
        <v>65</v>
      </c>
      <c r="C8" s="2">
        <v>80</v>
      </c>
      <c r="D8" s="2">
        <v>70</v>
      </c>
      <c r="E8" s="14">
        <f>AVERAGE(Table1[[#This Row],[English]:[Science]])</f>
        <v>71.666666666666671</v>
      </c>
      <c r="F8" s="7">
        <f>MAX(Table1[[#This Row],[English]:[Science]])</f>
        <v>80</v>
      </c>
      <c r="G8" s="2" t="s">
        <v>1043</v>
      </c>
    </row>
    <row r="9" spans="1:7" ht="15.75">
      <c r="A9" s="5" t="s">
        <v>1050</v>
      </c>
      <c r="B9" s="2">
        <v>55</v>
      </c>
      <c r="C9" s="2">
        <v>80</v>
      </c>
      <c r="D9" s="2">
        <v>60</v>
      </c>
      <c r="E9" s="14">
        <f>AVERAGE(Table1[[#This Row],[English]:[Science]])</f>
        <v>65</v>
      </c>
      <c r="F9" s="7">
        <f>MAX(Table1[[#This Row],[English]:[Science]])</f>
        <v>80</v>
      </c>
      <c r="G9" s="2" t="s">
        <v>1051</v>
      </c>
    </row>
    <row r="10" spans="1:7" ht="15.75">
      <c r="A10" s="6" t="s">
        <v>1052</v>
      </c>
      <c r="B10" s="2">
        <v>55</v>
      </c>
      <c r="C10" s="2">
        <v>70</v>
      </c>
      <c r="D10" s="2">
        <v>65</v>
      </c>
      <c r="E10" s="14">
        <f>AVERAGE(Table1[[#This Row],[English]:[Science]])</f>
        <v>63.333333333333336</v>
      </c>
      <c r="F10" s="7">
        <f>MAX(Table1[[#This Row],[English]:[Science]])</f>
        <v>70</v>
      </c>
      <c r="G10" s="2" t="s">
        <v>1051</v>
      </c>
    </row>
    <row r="11" spans="1:7" ht="15.75">
      <c r="A11" s="11" t="s">
        <v>1053</v>
      </c>
      <c r="B11" s="12">
        <v>55</v>
      </c>
      <c r="C11" s="12">
        <v>30</v>
      </c>
      <c r="D11" s="12">
        <v>65</v>
      </c>
      <c r="E11" s="15">
        <f>AVERAGE(Table1[[#This Row],[English]:[Science]])</f>
        <v>50</v>
      </c>
      <c r="F11" s="13">
        <f>MAX(Table1[[#This Row],[English]:[Science]])</f>
        <v>65</v>
      </c>
      <c r="G11" s="12" t="s">
        <v>1051</v>
      </c>
    </row>
    <row r="12" spans="1:7" ht="15.75"/>
    <row r="15" spans="1:7">
      <c r="A15" t="s">
        <v>1054</v>
      </c>
    </row>
    <row r="16" spans="1:7">
      <c r="A16" t="s">
        <v>1055</v>
      </c>
    </row>
    <row r="17" spans="1:1">
      <c r="A17" t="s">
        <v>1056</v>
      </c>
    </row>
    <row r="18" spans="1:1">
      <c r="A18" t="s">
        <v>1057</v>
      </c>
    </row>
    <row r="19" spans="1:1">
      <c r="A19" t="s">
        <v>1058</v>
      </c>
    </row>
    <row r="20" spans="1:1">
      <c r="A20" t="s">
        <v>1059</v>
      </c>
    </row>
    <row r="21" spans="1:1">
      <c r="A21" t="s">
        <v>1060</v>
      </c>
    </row>
  </sheetData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G2:G11" xr:uid="{993C2962-2D87-4842-A017-85946E49FAC7}">
      <formula1>"Yes,No"</formula1>
    </dataValidation>
    <dataValidation allowBlank="1" showInputMessage="1" showErrorMessage="1" sqref="G1" xr:uid="{875E2341-451B-4B90-8B30-0FC955ECA7E0}"/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D9334D5-6C08-4A46-AD2C-FA9BF6D4670C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BD46C143-3760-4C4C-9D14-3B35DC5F77CD}"/>
</file>

<file path=customXml/itemProps4.xml><?xml version="1.0" encoding="utf-8"?>
<ds:datastoreItem xmlns:ds="http://schemas.openxmlformats.org/officeDocument/2006/customXml" ds:itemID="{82F3FFA2-A909-498D-9BC6-33DF5B99923B}"/>
</file>

<file path=customXml/itemProps5.xml><?xml version="1.0" encoding="utf-8"?>
<ds:datastoreItem xmlns:ds="http://schemas.openxmlformats.org/officeDocument/2006/customXml" ds:itemID="{09B95C5D-16BB-4BEF-B316-6D3A8C9DD811}"/>
</file>

<file path=customXml/itemProps6.xml><?xml version="1.0" encoding="utf-8"?>
<ds:datastoreItem xmlns:ds="http://schemas.openxmlformats.org/officeDocument/2006/customXml" ds:itemID="{A85E162B-7A50-4957-AE78-A5F153441C86}"/>
</file>

<file path=customXml/itemProps7.xml><?xml version="1.0" encoding="utf-8"?>
<ds:datastoreItem xmlns:ds="http://schemas.openxmlformats.org/officeDocument/2006/customXml" ds:itemID="{6DA07CEC-807D-4764-A388-A6BBED7640E0}"/>
</file>

<file path=customXml/itemProps8.xml><?xml version="1.0" encoding="utf-8"?>
<ds:datastoreItem xmlns:ds="http://schemas.openxmlformats.org/officeDocument/2006/customXml" ds:itemID="{B46F128A-B7FE-46C0-9B9B-600600B1B28E}"/>
</file>

<file path=customXml/itemProps9.xml><?xml version="1.0" encoding="utf-8"?>
<ds:datastoreItem xmlns:ds="http://schemas.openxmlformats.org/officeDocument/2006/customXml" ds:itemID="{A4B88D49-EA58-47E5-AA07-36D60BC9149C}"/>
</file>

<file path=customXml/itemProps10.xml><?xml version="1.0" encoding="utf-8"?>
<ds:datastoreItem xmlns:ds="http://schemas.openxmlformats.org/officeDocument/2006/customXml" ds:itemID="{06D295F5-8058-4546-A127-35DC9120150C}"/>
</file>

<file path=customXml/itemProps11.xml><?xml version="1.0" encoding="utf-8"?>
<ds:datastoreItem xmlns:ds="http://schemas.openxmlformats.org/officeDocument/2006/customXml" ds:itemID="{B0863CD4-1E7A-4D88-A05C-62E37A52A464}"/>
</file>

<file path=customXml/itemProps12.xml><?xml version="1.0" encoding="utf-8"?>
<ds:datastoreItem xmlns:ds="http://schemas.openxmlformats.org/officeDocument/2006/customXml" ds:itemID="{15575EC4-E142-4B68-9BA1-7D9F83EA5067}"/>
</file>

<file path=customXml/itemProps13.xml><?xml version="1.0" encoding="utf-8"?>
<ds:datastoreItem xmlns:ds="http://schemas.openxmlformats.org/officeDocument/2006/customXml" ds:itemID="{3E8CB0BE-C4BA-4913-9C77-CD4B1441093A}"/>
</file>

<file path=customXml/itemProps14.xml><?xml version="1.0" encoding="utf-8"?>
<ds:datastoreItem xmlns:ds="http://schemas.openxmlformats.org/officeDocument/2006/customXml" ds:itemID="{E2D36A1E-236C-4E19-9955-D6B07E5D30B7}"/>
</file>

<file path=customXml/itemProps15.xml><?xml version="1.0" encoding="utf-8"?>
<ds:datastoreItem xmlns:ds="http://schemas.openxmlformats.org/officeDocument/2006/customXml" ds:itemID="{E643224C-1CC4-4A7F-A567-22ECFBDF619E}"/>
</file>

<file path=customXml/itemProps16.xml><?xml version="1.0" encoding="utf-8"?>
<ds:datastoreItem xmlns:ds="http://schemas.openxmlformats.org/officeDocument/2006/customXml" ds:itemID="{0ECF1352-6F0C-4E7B-8AFB-2EA761E69D98}"/>
</file>

<file path=customXml/itemProps17.xml><?xml version="1.0" encoding="utf-8"?>
<ds:datastoreItem xmlns:ds="http://schemas.openxmlformats.org/officeDocument/2006/customXml" ds:itemID="{8B7F014E-65B1-48DD-A1AF-A79E02398FCF}"/>
</file>

<file path=customXml/itemProps18.xml><?xml version="1.0" encoding="utf-8"?>
<ds:datastoreItem xmlns:ds="http://schemas.openxmlformats.org/officeDocument/2006/customXml" ds:itemID="{FE6DF61C-7ABD-44B9-B769-8F2899BB81F7}"/>
</file>

<file path=customXml/itemProps19.xml><?xml version="1.0" encoding="utf-8"?>
<ds:datastoreItem xmlns:ds="http://schemas.openxmlformats.org/officeDocument/2006/customXml" ds:itemID="{6A238311-EE1E-4F00-870C-F1577541C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Fidel BatistaRomero</cp:lastModifiedBy>
  <cp:revision/>
  <dcterms:created xsi:type="dcterms:W3CDTF">2024-01-05T15:03:52Z</dcterms:created>
  <dcterms:modified xsi:type="dcterms:W3CDTF">2026-07-16T12:26:44Z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